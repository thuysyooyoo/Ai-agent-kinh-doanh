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ong_Quan_He_Thong_1_So" sheetId="1" state="visible" r:id="rId1"/>
    <sheet name="02_Mo_Hinh_LCL_Hang_Gom" sheetId="2" state="visible" r:id="rId2"/>
    <sheet name="03_Mo_Hinh_FCL_Nguyen_Cont" sheetId="3" state="visible" r:id="rId3"/>
    <sheet name="04_Dinh_Khoan_Va_So_Sa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₫&quot;"/>
    <numFmt numFmtId="165" formatCode="¥#,##0.00"/>
    <numFmt numFmtId="166" formatCode="$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B365D"/>
      <sz val="10.5"/>
    </font>
    <font>
      <name val="Segoe UI"/>
      <b val="1"/>
      <color rgb="002C3E50"/>
      <sz val="11"/>
    </font>
    <font>
      <name val="Segoe UI"/>
      <b val="1"/>
      <sz val="9.5"/>
    </font>
    <font>
      <name val="Segoe UI"/>
      <sz val="9.5"/>
    </font>
    <font>
      <name val="Segoe UI"/>
      <b val="1"/>
      <color rgb="00FFFFFF"/>
      <sz val="9"/>
    </font>
    <font>
      <name val="Consolas"/>
      <i val="1"/>
      <color rgb="000D5C75"/>
      <sz val="9"/>
    </font>
    <font>
      <name val="Segoe UI"/>
      <i val="1"/>
      <color rgb="001B365D"/>
      <sz val="10"/>
    </font>
    <font>
      <name val="Segoe UI"/>
      <b val="1"/>
      <color rgb="00FFFFFF"/>
      <sz val="11"/>
    </font>
    <font>
      <name val="Segoe UI"/>
      <i val="1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D9E1F2"/>
        <bgColor rgb="00D9E1F2"/>
      </patternFill>
    </fill>
    <fill>
      <patternFill patternType="solid">
        <fgColor rgb="000D5C75"/>
        <bgColor rgb="000D5C75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0" borderId="1" pivotButton="0" quotePrefix="0" xfId="0"/>
    <xf numFmtId="0" fontId="7" fillId="0" borderId="1" pivotButton="0" quotePrefix="0" xfId="0"/>
    <xf numFmtId="0" fontId="6" fillId="5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3" borderId="0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10" fillId="0" borderId="1" pivotButton="0" quotePrefix="0" xfId="0"/>
    <xf numFmtId="3" fontId="5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10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 wrapText="1"/>
    </xf>
    <xf numFmtId="3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9" fontId="5" fillId="0" borderId="1" pivotButton="0" quotePrefix="0" xfId="0"/>
    <xf numFmtId="166" fontId="5" fillId="0" borderId="1" pivotButton="0" quotePrefix="0" xfId="0"/>
    <xf numFmtId="0" fontId="4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165" fontId="4" fillId="6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10" fontId="4" fillId="6" borderId="2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0" fontId="4" fillId="7" borderId="1" pivotButton="0" quotePrefix="0" xfId="0"/>
    <xf numFmtId="164" fontId="4" fillId="7" borderId="1" applyAlignment="1" pivotButton="0" quotePrefix="0" xfId="0">
      <alignment horizontal="right" vertical="center"/>
    </xf>
    <xf numFmtId="0" fontId="10" fillId="7" borderId="1" pivotButton="0" quotePrefix="0" xfId="0"/>
    <xf numFmtId="10" fontId="4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 wrapText="1"/>
    </xf>
    <xf numFmtId="0" fontId="4" fillId="8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8" borderId="1" pivotButton="0" quotePrefix="0" xfId="0"/>
    <xf numFmtId="0" fontId="10" fillId="8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45" customWidth="1" min="4" max="4"/>
    <col width="42" customWidth="1" min="5" max="5"/>
  </cols>
  <sheetData>
    <row r="1">
      <c r="A1" s="1" t="inlineStr">
        <is>
          <t>BẢNG PHÂN TÍCH HỆ THỐNG TÍNH GIÁ &amp; PHÂN BỔ 1 SỔ (EUREKA LOGISTICS)</t>
        </is>
      </c>
    </row>
    <row r="2"/>
    <row r="3">
      <c r="A3" s="2" t="inlineStr">
        <is>
          <t>Tài liệu dành cho Kế toán: Phân tích Chi tiết Công thức, Cơ chế Phân bổ và Quy trình Hạch toán</t>
        </is>
      </c>
    </row>
    <row r="4"/>
    <row r="5">
      <c r="A5" s="3" t="inlineStr">
        <is>
          <t>1. NGUYÊN TẮC PHÂN BỔ HỆ THỐNG 1 SỔ (EUREKA LOGISTICS)</t>
        </is>
      </c>
    </row>
    <row r="6">
      <c r="A6" s="4" t="inlineStr">
        <is>
          <t>Mục tiêu Kế toán:</t>
        </is>
      </c>
      <c r="B6" s="5" t="inlineStr">
        <is>
          <t>Tự động phân bổ chi phí cước vận chuyển quốc tế/nội địa, phí dịch vụ logistics, thuế hải quan cửa khẩu và VAT vào từng dòng sản phẩm nhập khẩu.</t>
        </is>
      </c>
    </row>
    <row r="7">
      <c r="A7" s="4" t="inlineStr">
        <is>
          <t>Cơ chế 1 Sổ:</t>
        </is>
      </c>
      <c r="B7" s="5" t="inlineStr">
        <is>
          <t>Hợp nhất toàn bộ dòng tiền mua hàng, cước VC, phí dịch vụ, thuế trực tiếp tại cửa khẩu và thuế VAT thành 1 bảng phân bổ duy nhất để xác định Giá thành Nhập kho và Doanh thu Xuất hóa đơn.</t>
        </is>
      </c>
    </row>
    <row r="8">
      <c r="A8" s="4" t="inlineStr">
        <is>
          <t>Nguyên tắc Phân bổ C1:</t>
        </is>
      </c>
      <c r="B8" s="5" t="inlineStr">
        <is>
          <t>Đa số các khoản phí (Cước VC, Phí Rủi ro, Phí Khác TQ/VN, Phí NĐ) được phân bổ theo TỶ LỆ GIÁ TRỊ HÀNG C1 (Ratio = C1_i / Tổng C1).</t>
        </is>
      </c>
    </row>
    <row r="9">
      <c r="A9" s="4" t="inlineStr">
        <is>
          <t>Đặc thù Phí UT LCL:</t>
        </is>
      </c>
      <c r="B9" s="5" t="inlineStr">
        <is>
          <t>Phí ủy thác hàng LCL phân bổ CHIA ĐỀU cho từng dòng mặt hàng (C3 = Tổng Phí UT / Số lượng mục hàng). Đối với FCL phân bổ theo C1.</t>
        </is>
      </c>
    </row>
    <row r="10">
      <c r="A10" s="4" t="inlineStr">
        <is>
          <t>Đặc thù Phí Rủi Ro:</t>
        </is>
      </c>
      <c r="B10" s="5" t="inlineStr">
        <is>
          <t>Phí Rủi ro (1%) chỉ áp dụng khi trị giá lô hàng vượt ngưỡng tiêu chuẩn (K × 100 triệu VND) và ĐƯỢC LOẠI BỎ KHỎI GIÁ CIF để tính thuế hải quan!</t>
        </is>
      </c>
    </row>
    <row r="11"/>
    <row r="12">
      <c r="A12" s="3" t="inlineStr">
        <is>
          <t>2. MA TRẬN CỘT THUẬT NGỮ &amp; CÔNG THỨC CHUẨN KẾ TOÁN (C1 ĐẾN C17)</t>
        </is>
      </c>
    </row>
    <row r="13" ht="25" customHeight="1">
      <c r="A13" s="6" t="inlineStr">
        <is>
          <t>Mã Cột</t>
        </is>
      </c>
      <c r="B13" s="6" t="inlineStr">
        <is>
          <t>Tên Chỉ Tiêu / Thuật Ngữ</t>
        </is>
      </c>
      <c r="C13" s="6" t="inlineStr">
        <is>
          <t>Mô Tả Ý Nghĩa Kế Toán</t>
        </is>
      </c>
      <c r="D13" s="6" t="inlineStr">
        <is>
          <t>Công Thức Tính Toán Chi Tiết</t>
        </is>
      </c>
      <c r="E13" s="6" t="inlineStr">
        <is>
          <t>Ghi Chú Phân Bổ</t>
        </is>
      </c>
    </row>
    <row r="14" ht="26" customHeight="1">
      <c r="A14" s="7" t="inlineStr">
        <is>
          <t>C1</t>
        </is>
      </c>
      <c r="B14" s="8" t="inlineStr">
        <is>
          <t>Giá trị hàng gốc (VND)</t>
        </is>
      </c>
      <c r="C14" s="9" t="inlineStr">
        <is>
          <t>Trị giá hàng mua gốc tính bằng VND</t>
        </is>
      </c>
      <c r="D14" s="10" t="inlineStr">
        <is>
          <t>C1 = Số lượng × Đơn giá RMB × Tỷ giá RMB</t>
        </is>
      </c>
      <c r="E14" s="9" t="inlineStr">
        <is>
          <t>Đầu vào chính tính tỷ lệ phân bổ ratio_i = C1_i / Tổng C1</t>
        </is>
      </c>
    </row>
    <row r="15" ht="26" customHeight="1">
      <c r="A15" s="7" t="inlineStr">
        <is>
          <t>C2</t>
        </is>
      </c>
      <c r="B15" s="8" t="inlineStr">
        <is>
          <t>Cước VC TQ-VN (VND)</t>
        </is>
      </c>
      <c r="C15" s="9" t="inlineStr">
        <is>
          <t>Tổng cước VC từ TQ về VN (đã trừ chiết khấu VIP)</t>
        </is>
      </c>
      <c r="D15" s="10" t="inlineStr">
        <is>
          <t>C2 = (Tổng Cước VC - Chiết khấu VIP) × (C1 / Tổng C1)</t>
        </is>
      </c>
      <c r="E15" s="9" t="inlineStr">
        <is>
          <t>Phân bổ theo tỷ lệ trị giá C1</t>
        </is>
      </c>
    </row>
    <row r="16" ht="26" customHeight="1">
      <c r="A16" s="7" t="inlineStr">
        <is>
          <t>C3</t>
        </is>
      </c>
      <c r="B16" s="8" t="inlineStr">
        <is>
          <t>Phí ủy thác (VND)</t>
        </is>
      </c>
      <c r="C16" s="9" t="inlineStr">
        <is>
          <t>Phí dịch vụ ủy thác nhập khẩu</t>
        </is>
      </c>
      <c r="D16" s="10" t="inlineStr">
        <is>
          <t>LCL: C3 = Tổng Phí UT / Số mục hàng (Chia đều)
FCL: C3 = Tổng Phí UT × (C1 / Tổng C1)</t>
        </is>
      </c>
      <c r="E16" s="9" t="inlineStr">
        <is>
          <t>LCL chia đều theo dòng hàng; FCL phân bổ theo C1</t>
        </is>
      </c>
    </row>
    <row r="17" ht="26" customHeight="1">
      <c r="A17" s="7" t="inlineStr">
        <is>
          <t>C4</t>
        </is>
      </c>
      <c r="B17" s="8" t="inlineStr">
        <is>
          <t>Phí rủi ro 1% (VND)</t>
        </is>
      </c>
      <c r="C17" s="9" t="inlineStr">
        <is>
          <t>Phí bảo hiểm hàng hóa vượt ngưỡng tiêu chuẩn</t>
        </is>
      </c>
      <c r="D17" s="10" t="inlineStr">
        <is>
          <t>C4 = Tổng Phí RR × (C1 / Tổng C1)
[Phí RR = 1% × max(0, Trị giá - K×100tr)]</t>
        </is>
      </c>
      <c r="E17" s="9" t="inlineStr">
        <is>
          <t>Phân bổ theo C1. Chú ý: LOẠI BỎ khỏi CIF!</t>
        </is>
      </c>
    </row>
    <row r="18" ht="26" customHeight="1">
      <c r="A18" s="7" t="inlineStr">
        <is>
          <t>C5</t>
        </is>
      </c>
      <c r="B18" s="8" t="inlineStr">
        <is>
          <t>Phí khác TQ/VN (VND)</t>
        </is>
      </c>
      <c r="C18" s="9" t="inlineStr">
        <is>
          <t>Phí thủ tục, bốc xếp chặng TQ/VN</t>
        </is>
      </c>
      <c r="D18" s="10" t="inlineStr">
        <is>
          <t>C5 = Tổng Phí Khác × (C1 / Tổng C1)</t>
        </is>
      </c>
      <c r="E18" s="9" t="inlineStr">
        <is>
          <t>Phân bổ theo tỷ lệ trị giá C1</t>
        </is>
      </c>
    </row>
    <row r="19" ht="26" customHeight="1">
      <c r="A19" s="7" t="inlineStr">
        <is>
          <t>C6</t>
        </is>
      </c>
      <c r="B19" s="8" t="inlineStr">
        <is>
          <t>Phí VC TQ (Quốc tế)</t>
        </is>
      </c>
      <c r="C19" s="9" t="inlineStr">
        <is>
          <t>Cước chặng quốc tế TQ (căn cứ tính CIF)</t>
        </is>
      </c>
      <c r="D19" s="10" t="inlineStr">
        <is>
          <t>C6 = Tổng Phí VC TQ × (C1 / Tổng C1)
[QC: 1tr/m³, BT: 700k/m³]</t>
        </is>
      </c>
      <c r="E19" s="9" t="inlineStr">
        <is>
          <t>Phân bổ theo tỷ lệ trị giá C1</t>
        </is>
      </c>
    </row>
    <row r="20" ht="26" customHeight="1">
      <c r="A20" s="7" t="inlineStr">
        <is>
          <t>C7</t>
        </is>
      </c>
      <c r="B20" s="8" t="inlineStr">
        <is>
          <t>Phí VC VN (Nội địa)</t>
        </is>
      </c>
      <c r="C20" s="9" t="inlineStr">
        <is>
          <t>Cước vận chuyển chặng nội địa Việt Nam</t>
        </is>
      </c>
      <c r="D20" s="10" t="inlineStr">
        <is>
          <t>C7 = C2 - C6</t>
        </is>
      </c>
      <c r="E20" s="9" t="inlineStr">
        <is>
          <t>Chênh lệch giữa C2 và C6</t>
        </is>
      </c>
    </row>
    <row r="21" ht="26" customHeight="1">
      <c r="A21" s="7" t="inlineStr">
        <is>
          <t>C8</t>
        </is>
      </c>
      <c r="B21" s="8" t="inlineStr">
        <is>
          <t>Phí khác VN (VND)</t>
        </is>
      </c>
      <c r="C21" s="9" t="inlineStr">
        <is>
          <t>Các chi phí thủ tục bổ sung tại VN</t>
        </is>
      </c>
      <c r="D21" s="10" t="inlineStr">
        <is>
          <t>C8 = Tổng Phí Khác VN × (C1 / Tổng C1)</t>
        </is>
      </c>
      <c r="E21" s="9" t="inlineStr">
        <is>
          <t>Phân bổ theo tỷ lệ trị giá C1</t>
        </is>
      </c>
    </row>
    <row r="22" ht="26" customHeight="1">
      <c r="A22" s="7" t="inlineStr">
        <is>
          <t>C9</t>
        </is>
      </c>
      <c r="B22" s="8" t="inlineStr">
        <is>
          <t>Giá CIF / DAP (VND)</t>
        </is>
      </c>
      <c r="C22" s="9" t="inlineStr">
        <is>
          <t>Trị giá hải quan làm căn cứ tính Thuế NK</t>
        </is>
      </c>
      <c r="D22" s="10" t="inlineStr">
        <is>
          <t>C9 = C1 + C3 + C5 + C6 (Loại bỏ C4 Phí rủi ro)</t>
        </is>
      </c>
      <c r="E22" s="9" t="inlineStr">
        <is>
          <t>Giá cơ sở tính Thuế NK &amp; Thuế Khác</t>
        </is>
      </c>
    </row>
    <row r="23" ht="26" customHeight="1">
      <c r="A23" s="7" t="inlineStr">
        <is>
          <t>C10</t>
        </is>
      </c>
      <c r="B23" s="8" t="inlineStr">
        <is>
          <t>Thuế NK (%)</t>
        </is>
      </c>
      <c r="C23" s="9" t="inlineStr">
        <is>
          <t>Tỷ lệ thuế nhập khẩu theo mã HS</t>
        </is>
      </c>
      <c r="D23" s="10" t="inlineStr">
        <is>
          <t>Tra cứu Biểu thuế XK-NK theo mã HS</t>
        </is>
      </c>
      <c r="E23" s="9" t="inlineStr">
        <is>
          <t>Căn cứ theo mã HS từng dòng hàng</t>
        </is>
      </c>
    </row>
    <row r="24" ht="26" customHeight="1">
      <c r="A24" s="7" t="inlineStr">
        <is>
          <t>C11</t>
        </is>
      </c>
      <c r="B24" s="8" t="inlineStr">
        <is>
          <t>Thuế Khác (%)</t>
        </is>
      </c>
      <c r="C24" s="9" t="inlineStr">
        <is>
          <t>Tỷ lệ Thuế TTĐB, Thuế BVMT (nếu có)</t>
        </is>
      </c>
      <c r="D24" s="10" t="inlineStr">
        <is>
          <t>Tra cứu quy định thuế chuyên ngành</t>
        </is>
      </c>
      <c r="E24" s="9" t="inlineStr">
        <is>
          <t>Áp dụng trên (CIF + Thuế NK)</t>
        </is>
      </c>
    </row>
    <row r="25" ht="26" customHeight="1">
      <c r="A25" s="7" t="inlineStr">
        <is>
          <t>C12/C13</t>
        </is>
      </c>
      <c r="B25" s="8" t="inlineStr">
        <is>
          <t>Thuế trực tiếp (VND)</t>
        </is>
      </c>
      <c r="C25" s="9" t="inlineStr">
        <is>
          <t>Tổng thuế nộp tại cửa khẩu hải quan (chưa VAT)</t>
        </is>
      </c>
      <c r="D25" s="10" t="inlineStr">
        <is>
          <t>Thuế TT = CIF × Thuế NK + (CIF + CIF×Thuế NK) × Thuế Khác</t>
        </is>
      </c>
      <c r="E25" s="9" t="inlineStr">
        <is>
          <t>Bút toán: Nợ 1561 / Có 3333, 3332</t>
        </is>
      </c>
    </row>
    <row r="26" ht="26" customHeight="1">
      <c r="A26" s="7" t="inlineStr">
        <is>
          <t>C13/C14</t>
        </is>
      </c>
      <c r="B26" s="8" t="inlineStr">
        <is>
          <t>Tiền thuế VAT (VND)</t>
        </is>
      </c>
      <c r="C26" s="9" t="inlineStr">
        <is>
          <t>Tổng Thuế VAT đầu vào nộp cửa khẩu &amp; dịch vụ</t>
        </is>
      </c>
      <c r="D26" s="10" t="inlineStr">
        <is>
          <t>VAT = (Thuế TT + CIF) × VAT% + (Phí NĐ VN + Phí RR) × VAT%</t>
        </is>
      </c>
      <c r="E26" s="9" t="inlineStr">
        <is>
          <t>Bút toán: Nợ 1331 / Có 33312, 331</t>
        </is>
      </c>
    </row>
    <row r="27" ht="26" customHeight="1">
      <c r="A27" s="7" t="inlineStr">
        <is>
          <t>C14/C15</t>
        </is>
      </c>
      <c r="B27" s="8" t="inlineStr">
        <is>
          <t>Tổng CP chưa VAT (VND)</t>
        </is>
      </c>
      <c r="C27" s="9" t="inlineStr">
        <is>
          <t>Giá thành nhập kho thực tế của hàng hóa</t>
        </is>
      </c>
      <c r="D27" s="10" t="inlineStr">
        <is>
          <t>C15 = C2 + C3 + C4 + C5 + C8 + Thuế Trực Tiếp</t>
        </is>
      </c>
      <c r="E27" s="9" t="inlineStr">
        <is>
          <t>Bút toán: Nợ 1561 (Hàng hóa nhập kho)</t>
        </is>
      </c>
    </row>
    <row r="28" ht="26" customHeight="1">
      <c r="A28" s="7" t="inlineStr">
        <is>
          <t>C15/C16</t>
        </is>
      </c>
      <c r="B28" s="8" t="inlineStr">
        <is>
          <t>Doanh thu xuất HĐ (đã VAT)</t>
        </is>
      </c>
      <c r="C28" s="9" t="inlineStr">
        <is>
          <t>Tổng giá trị hóa đơn tài chính xuất cho khách</t>
        </is>
      </c>
      <c r="D28" s="10" t="inlineStr">
        <is>
          <t>C16 = VAT / VAT% + VAT (với VAT &gt; 0)</t>
        </is>
      </c>
      <c r="E28" s="9" t="inlineStr">
        <is>
          <t>Bút toán: Nợ 131 / Có 511, 33311</t>
        </is>
      </c>
    </row>
    <row r="29" ht="26" customHeight="1">
      <c r="A29" s="7" t="inlineStr">
        <is>
          <t>C16/C17</t>
        </is>
      </c>
      <c r="B29" s="8" t="inlineStr">
        <is>
          <t>Số tiền chuyển thêm (VND)</t>
        </is>
      </c>
      <c r="C29" s="9" t="inlineStr">
        <is>
          <t>Khoản tiền khách thanh toán thêm ngoài giá mua hàng</t>
        </is>
      </c>
      <c r="D29" s="10" t="inlineStr">
        <is>
          <t>C17 = C16 - C1</t>
        </is>
      </c>
      <c r="E29" s="9" t="inlineStr">
        <is>
          <t>Dòng tiền chênh lệch khách chuyển thêm</t>
        </is>
      </c>
    </row>
    <row r="30"/>
    <row r="31">
      <c r="A31" s="3" t="inlineStr">
        <is>
          <t>3. BẢNG CẤU HÌNH ĐƠN GIÁ ĐỊNH MỨC HỆ THỐNG (SYSTEM TARIFFS)</t>
        </is>
      </c>
    </row>
    <row r="32">
      <c r="A32" s="11" t="inlineStr">
        <is>
          <t>Chỉ Tiêu Định Mức</t>
        </is>
      </c>
      <c r="C32" s="11" t="inlineStr">
        <is>
          <t>Giá Trị Mặc Định</t>
        </is>
      </c>
      <c r="D32" s="11" t="inlineStr">
        <is>
          <t>Đơn Vị Tính</t>
        </is>
      </c>
      <c r="E32" s="11" t="inlineStr">
        <is>
          <t>Ghi Chú Kế Toán</t>
        </is>
      </c>
    </row>
    <row r="33" ht="20" customHeight="1">
      <c r="A33" s="12" t="inlineStr">
        <is>
          <t>Cước quốc tế Quảng Châu</t>
        </is>
      </c>
      <c r="B33" s="13" t="n"/>
      <c r="C33" s="14" t="n">
        <v>1000000</v>
      </c>
      <c r="D33" s="15" t="inlineStr">
        <is>
          <t>VND/m³</t>
        </is>
      </c>
      <c r="E33" s="9" t="inlineStr">
        <is>
          <t>Đơn giá định mức chặng quốc tế QC</t>
        </is>
      </c>
    </row>
    <row r="34" ht="20" customHeight="1">
      <c r="A34" s="12" t="inlineStr">
        <is>
          <t>Cước quốc tế Bằng Tường</t>
        </is>
      </c>
      <c r="B34" s="13" t="n"/>
      <c r="C34" s="14" t="n">
        <v>700000</v>
      </c>
      <c r="D34" s="15" t="inlineStr">
        <is>
          <t>VND/m³</t>
        </is>
      </c>
      <c r="E34" s="9" t="inlineStr">
        <is>
          <t>Đơn giá định mức chặng quốc tế BT</t>
        </is>
      </c>
    </row>
    <row r="35" ht="20" customHeight="1">
      <c r="A35" s="12" t="inlineStr">
        <is>
          <t>Phí Ủy thác gốc (LCL Base)</t>
        </is>
      </c>
      <c r="B35" s="13" t="n"/>
      <c r="C35" s="14" t="n">
        <v>400000</v>
      </c>
      <c r="D35" s="15" t="inlineStr">
        <is>
          <t>VND/mục</t>
        </is>
      </c>
      <c r="E35" s="9" t="inlineStr">
        <is>
          <t>Mức phí UT định mức gốc cho 1 mặt hàng (400k/mục)</t>
        </is>
      </c>
    </row>
    <row r="36" ht="20" customHeight="1">
      <c r="A36" s="12" t="inlineStr">
        <is>
          <t>Ngưỡng Bảo hiểm Tiêu chuẩn</t>
        </is>
      </c>
      <c r="B36" s="13" t="n"/>
      <c r="C36" s="14" t="n">
        <v>100000000</v>
      </c>
      <c r="D36" s="15" t="inlineStr">
        <is>
          <t>VND/K (m³)</t>
        </is>
      </c>
      <c r="E36" s="9" t="inlineStr">
        <is>
          <t>Ngưỡng miễn phí rủi ro (K × 100 triệu)</t>
        </is>
      </c>
    </row>
    <row r="37" ht="20" customHeight="1">
      <c r="A37" s="12" t="inlineStr">
        <is>
          <t>Tỷ lệ Phí Rủi Ro</t>
        </is>
      </c>
      <c r="B37" s="13" t="n"/>
      <c r="C37" s="16" t="n">
        <v>0.01</v>
      </c>
      <c r="D37" s="15" t="inlineStr">
        <is>
          <t>%</t>
        </is>
      </c>
      <c r="E37" s="9" t="inlineStr">
        <is>
          <t>1% trên giá trị hàng vượt ngưỡng BH</t>
        </is>
      </c>
    </row>
    <row r="38" ht="20" customHeight="1">
      <c r="A38" s="12" t="inlineStr">
        <is>
          <t>Hạng VIP Discount - Basic</t>
        </is>
      </c>
      <c r="B38" s="13" t="n"/>
      <c r="C38" s="16" t="n">
        <v>0</v>
      </c>
      <c r="D38" s="15" t="inlineStr">
        <is>
          <t>%</t>
        </is>
      </c>
      <c r="E38" s="9" t="inlineStr">
        <is>
          <t>Chiết khấu cước quốc tế 0%</t>
        </is>
      </c>
    </row>
    <row r="39" ht="20" customHeight="1">
      <c r="A39" s="12" t="inlineStr">
        <is>
          <t>Hạng VIP Discount - Pro</t>
        </is>
      </c>
      <c r="B39" s="13" t="n"/>
      <c r="C39" s="16" t="n">
        <v>0.1</v>
      </c>
      <c r="D39" s="15" t="inlineStr">
        <is>
          <t>%</t>
        </is>
      </c>
      <c r="E39" s="9" t="inlineStr">
        <is>
          <t>Chiết khấu cước quốc tế 10%</t>
        </is>
      </c>
    </row>
    <row r="40" ht="20" customHeight="1">
      <c r="A40" s="12" t="inlineStr">
        <is>
          <t>Hạng VIP Discount - Premium</t>
        </is>
      </c>
      <c r="B40" s="13" t="n"/>
      <c r="C40" s="16" t="n">
        <v>0.2</v>
      </c>
      <c r="D40" s="15" t="inlineStr">
        <is>
          <t>%</t>
        </is>
      </c>
      <c r="E40" s="9" t="inlineStr">
        <is>
          <t>Chiết khấu cước quốc tế 20%</t>
        </is>
      </c>
    </row>
    <row r="41" ht="20" customHeight="1">
      <c r="A41" s="12" t="inlineStr">
        <is>
          <t>Hạng VIP Discount - Elite</t>
        </is>
      </c>
      <c r="B41" s="13" t="n"/>
      <c r="C41" s="16" t="n">
        <v>0.3</v>
      </c>
      <c r="D41" s="15" t="inlineStr">
        <is>
          <t>%</t>
        </is>
      </c>
      <c r="E41" s="9" t="inlineStr">
        <is>
          <t>Chiết khấu cước quốc tế 30%</t>
        </is>
      </c>
    </row>
  </sheetData>
  <mergeCells count="11">
    <mergeCell ref="A38:B38"/>
    <mergeCell ref="A41:B41"/>
    <mergeCell ref="A33:B33"/>
    <mergeCell ref="A37:B37"/>
    <mergeCell ref="A32:B32"/>
    <mergeCell ref="A36:B36"/>
    <mergeCell ref="A1:E2"/>
    <mergeCell ref="A40:B40"/>
    <mergeCell ref="A39:B39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MÔ HÌNH TÍNH GIÁ &amp; PHÂN BỔ CHI PHÍ HÀNG GOM CONT (LCL)</t>
        </is>
      </c>
    </row>
    <row r="2"/>
    <row r="3">
      <c r="A3" s="17" t="inlineStr">
        <is>
          <t>Bảng phân bổ chi phí chi tiết từng mặt hàng LCL (C1 đến C17) tích hợp Công thức Excel Động</t>
        </is>
      </c>
    </row>
    <row r="4"/>
    <row r="5">
      <c r="A5" s="18" t="inlineStr">
        <is>
          <t>A. THAM SỐ THÔNG TIN LÔ HÀNG LCL (HEADER INPUTS)</t>
        </is>
      </c>
    </row>
    <row r="6" ht="19" customHeight="1">
      <c r="A6" s="12" t="inlineStr">
        <is>
          <t>Tỷ giá USD/VND</t>
        </is>
      </c>
      <c r="B6" s="19" t="n">
        <v>25400</v>
      </c>
      <c r="C6" s="20" t="inlineStr">
        <is>
          <t>USD Rate</t>
        </is>
      </c>
    </row>
    <row r="7" ht="19" customHeight="1">
      <c r="A7" s="12" t="inlineStr">
        <is>
          <t>Tỷ giá RMB/VND</t>
        </is>
      </c>
      <c r="B7" s="19" t="n">
        <v>3600</v>
      </c>
      <c r="C7" s="20" t="inlineStr">
        <is>
          <t>RMB Rate</t>
        </is>
      </c>
    </row>
    <row r="8" ht="19" customHeight="1">
      <c r="A8" s="12" t="inlineStr">
        <is>
          <t>Thể tích thực tế (CBM / m³)</t>
        </is>
      </c>
      <c r="B8" s="21" t="n">
        <v>2.5</v>
      </c>
      <c r="C8" s="20" t="inlineStr">
        <is>
          <t>Volume (m³)</t>
        </is>
      </c>
    </row>
    <row r="9" ht="19" customHeight="1">
      <c r="A9" s="12" t="inlineStr">
        <is>
          <t>Trọng lượng thực tế (kg)</t>
        </is>
      </c>
      <c r="B9" s="21" t="n">
        <v>400</v>
      </c>
      <c r="C9" s="20" t="inlineStr">
        <is>
          <t>Weight (kg)</t>
        </is>
      </c>
    </row>
    <row r="10" ht="19" customHeight="1">
      <c r="A10" s="8" t="inlineStr">
        <is>
          <t>Khối lượng quy đổi K (m³)</t>
        </is>
      </c>
      <c r="B10" s="22">
        <f>MAX(B8, B9/250)</f>
        <v/>
      </c>
      <c r="C10" s="23" t="inlineStr">
        <is>
          <t>K = max(CBM, kg/250)</t>
        </is>
      </c>
    </row>
    <row r="11" ht="19" customHeight="1">
      <c r="A11" s="12" t="inlineStr">
        <is>
          <t>Kho nhận TQ</t>
        </is>
      </c>
      <c r="B11" s="24" t="inlineStr">
        <is>
          <t>Quảng Châu</t>
        </is>
      </c>
      <c r="C11" s="20" t="inlineStr">
        <is>
          <t>Quảng Châu hoặc Bằng Tường</t>
        </is>
      </c>
    </row>
    <row r="12" ht="19" customHeight="1">
      <c r="A12" s="12" t="inlineStr">
        <is>
          <t>Hạng VIP Khách Hàng</t>
        </is>
      </c>
      <c r="B12" s="24" t="inlineStr">
        <is>
          <t>Pro</t>
        </is>
      </c>
      <c r="C12" s="20" t="inlineStr">
        <is>
          <t>Chiết khấu VIP 10%</t>
        </is>
      </c>
    </row>
    <row r="13" ht="19" customHeight="1">
      <c r="A13" s="12" t="inlineStr">
        <is>
          <t>Tỷ lệ Chiết khấu VIP</t>
        </is>
      </c>
      <c r="B13" s="25" t="n">
        <v>0.1</v>
      </c>
      <c r="C13" s="20" t="inlineStr">
        <is>
          <t>VIP Discount Rate</t>
        </is>
      </c>
    </row>
    <row r="14" ht="19" customHeight="1">
      <c r="A14" s="12" t="inlineStr">
        <is>
          <t>Cước VC TQ-VN gốc (VND)</t>
        </is>
      </c>
      <c r="B14" s="19" t="n">
        <v>5000000</v>
      </c>
      <c r="C14" s="20" t="inlineStr">
        <is>
          <t>Chưa trừ chiết khấu VIP</t>
        </is>
      </c>
    </row>
    <row r="15" ht="19" customHeight="1">
      <c r="A15" s="8" t="inlineStr">
        <is>
          <t>Chiết khấu VIP Cước (VND)</t>
        </is>
      </c>
      <c r="B15" s="26">
        <f>IF(B11="Quảng Châu", B10*1000000, B10*700000)*B13</f>
        <v/>
      </c>
      <c r="C15" s="23" t="inlineStr">
        <is>
          <t>Discount = Cước QT × VIP%</t>
        </is>
      </c>
    </row>
    <row r="16" ht="19" customHeight="1">
      <c r="A16" s="8" t="inlineStr">
        <is>
          <t>Cước VC TQ-VN sau CK (VND)</t>
        </is>
      </c>
      <c r="B16" s="26">
        <f>B14-B15</f>
        <v/>
      </c>
      <c r="C16" s="23" t="inlineStr">
        <is>
          <t>Tổng cước VC đã trừ CK</t>
        </is>
      </c>
    </row>
    <row r="17" ht="19" customHeight="1">
      <c r="A17" s="12" t="inlineStr">
        <is>
          <t>Phí Ủy thác tổng (VND)</t>
        </is>
      </c>
      <c r="B17" s="19" t="n">
        <v>1200000</v>
      </c>
      <c r="C17" s="20" t="inlineStr">
        <is>
          <t>LCL chia đều cho từng mục (3 mục × 400k)</t>
        </is>
      </c>
    </row>
    <row r="18" ht="19" customHeight="1">
      <c r="A18" s="12" t="inlineStr">
        <is>
          <t>Hạn mức Bảo hiểm tiêu chuẩn (VND)</t>
        </is>
      </c>
      <c r="B18" s="14">
        <f>B10*100000000</f>
        <v/>
      </c>
      <c r="C18" s="20" t="inlineStr">
        <is>
          <t>K × 100 triệu VND</t>
        </is>
      </c>
    </row>
    <row r="19" ht="19" customHeight="1">
      <c r="A19" s="12" t="inlineStr">
        <is>
          <t>Tổng trị giá mua gốc lô hàng (VND)</t>
        </is>
      </c>
      <c r="B19" s="14">
        <f>SUM(G27:G29)</f>
        <v/>
      </c>
      <c r="C19" s="20" t="inlineStr">
        <is>
          <t>Tổng C1 của lô hàng</t>
        </is>
      </c>
    </row>
    <row r="20" ht="19" customHeight="1">
      <c r="A20" s="8" t="inlineStr">
        <is>
          <t>Phí Rủi ro 1% (VND)</t>
        </is>
      </c>
      <c r="B20" s="26">
        <f>IF(B19&gt;B18, (B19-B18)*0.01, 0)</f>
        <v/>
      </c>
      <c r="C20" s="23" t="inlineStr">
        <is>
          <t>1% trên trị giá vượt ngưỡng</t>
        </is>
      </c>
    </row>
    <row r="21" ht="19" customHeight="1">
      <c r="A21" s="12" t="inlineStr">
        <is>
          <t>Phí khác TQ (VND)</t>
        </is>
      </c>
      <c r="B21" s="19" t="n">
        <v>600000</v>
      </c>
      <c r="C21" s="20" t="inlineStr">
        <is>
          <t>Phí thủ tục chặng TQ</t>
        </is>
      </c>
    </row>
    <row r="22" ht="19" customHeight="1">
      <c r="A22" s="8" t="inlineStr">
        <is>
          <t>Phí VC TQ (Quốc tế) (VND)</t>
        </is>
      </c>
      <c r="B22" s="26">
        <f>IF(B11="Quảng Châu", B10*1000000, B10*700000)</f>
        <v/>
      </c>
      <c r="C22" s="23" t="inlineStr">
        <is>
          <t>QC: 1tr/m³, BT: 700k/m³</t>
        </is>
      </c>
    </row>
    <row r="23" ht="19" customHeight="1">
      <c r="A23" s="8" t="inlineStr">
        <is>
          <t>Phí VC VN (Nội địa) (VND)</t>
        </is>
      </c>
      <c r="B23" s="26">
        <f>B16-B22</f>
        <v/>
      </c>
      <c r="C23" s="23" t="inlineStr">
        <is>
          <t>Chênh lệch Cước VC - Phí QT</t>
        </is>
      </c>
    </row>
    <row r="24" ht="19" customHeight="1">
      <c r="A24" s="12" t="inlineStr">
        <is>
          <t>Phí khác VN (VND)</t>
        </is>
      </c>
      <c r="B24" s="19" t="n">
        <v>300000</v>
      </c>
      <c r="C24" s="20" t="inlineStr">
        <is>
          <t>Phí phụ trợ chặng VN</t>
        </is>
      </c>
    </row>
    <row r="25">
      <c r="A25" s="27" t="inlineStr">
        <is>
          <t>B. BẢNG PHÂN BỔ CHI TIẾT TỪNG MẶT HÀNG LCL (LINE ITEMS ALLOCATION TABLE)</t>
        </is>
      </c>
    </row>
    <row r="26" ht="28" customHeight="1">
      <c r="A26" s="6" t="inlineStr">
        <is>
          <t>STT</t>
        </is>
      </c>
      <c r="B26" s="6" t="inlineStr">
        <is>
          <t>Tên Mặt Hàng</t>
        </is>
      </c>
      <c r="C26" s="6" t="inlineStr">
        <is>
          <t>Số Lượng</t>
        </is>
      </c>
      <c r="D26" s="6" t="inlineStr">
        <is>
          <t>Đơn Giá (RMB)</t>
        </is>
      </c>
      <c r="E26" s="6" t="inlineStr">
        <is>
          <t>Tổng Giá Trị (RMB)</t>
        </is>
      </c>
      <c r="F26" s="6" t="inlineStr">
        <is>
          <t>Tỷ Giá RMB</t>
        </is>
      </c>
      <c r="G26" s="6" t="inlineStr">
        <is>
          <t>(C1) Trị Giá Hàng (VND)</t>
        </is>
      </c>
      <c r="H26" s="6" t="inlineStr">
        <is>
          <t>Tỷ Lệ Phân Bổ (Ratio)</t>
        </is>
      </c>
      <c r="I26" s="6" t="inlineStr">
        <is>
          <t>(C2) Cước VC TQ-VN</t>
        </is>
      </c>
      <c r="J26" s="6" t="inlineStr">
        <is>
          <t>(C3) Phí Ủy Thác</t>
        </is>
      </c>
      <c r="K26" s="6" t="inlineStr">
        <is>
          <t>(C4) Phí Rủi Ro</t>
        </is>
      </c>
      <c r="L26" s="6" t="inlineStr">
        <is>
          <t>(C5) Phí Khác TQ</t>
        </is>
      </c>
      <c r="M26" s="6" t="inlineStr">
        <is>
          <t>(C6) Phí VC TQ (QT)</t>
        </is>
      </c>
      <c r="N26" s="6" t="inlineStr">
        <is>
          <t>(C7) Phí VC VN (NĐ)</t>
        </is>
      </c>
      <c r="O26" s="6" t="inlineStr">
        <is>
          <t>(C8) Phí Khác VN</t>
        </is>
      </c>
      <c r="P26" s="6" t="inlineStr">
        <is>
          <t>(C9) Giá CIF/DAP</t>
        </is>
      </c>
      <c r="Q26" s="6" t="inlineStr">
        <is>
          <t>(C10) Thuế NK (%)</t>
        </is>
      </c>
      <c r="R26" s="6" t="inlineStr">
        <is>
          <t>(C11) Thuế Khác (%)</t>
        </is>
      </c>
      <c r="S26" s="6" t="inlineStr">
        <is>
          <t>(C12) VAT (%)</t>
        </is>
      </c>
      <c r="T26" s="6" t="inlineStr">
        <is>
          <t>(C13) Thuế Trực Tiếp</t>
        </is>
      </c>
      <c r="U26" s="6" t="inlineStr">
        <is>
          <t>(C14) Tiền Thuế VAT</t>
        </is>
      </c>
      <c r="V26" s="6" t="inlineStr">
        <is>
          <t>(C15) Tổng CP Chưa VAT</t>
        </is>
      </c>
      <c r="W26" s="6" t="inlineStr">
        <is>
          <t>(C16) Xuất HĐ (Đã VAT)</t>
        </is>
      </c>
      <c r="X26" s="6" t="inlineStr">
        <is>
          <t>(C17) Khách Chuyển Thêm</t>
        </is>
      </c>
      <c r="Y26" s="6" t="inlineStr">
        <is>
          <t>Đơn Giá DAP ($)</t>
        </is>
      </c>
      <c r="Z26" s="6" t="inlineStr">
        <is>
          <t>Đơn Giá Xuất HĐ</t>
        </is>
      </c>
    </row>
    <row r="27" ht="22" customHeight="1">
      <c r="A27" s="15" t="n">
        <v>1</v>
      </c>
      <c r="B27" s="24" t="inlineStr">
        <is>
          <t>Áo thun nam Cotton</t>
        </is>
      </c>
      <c r="C27" s="28" t="n">
        <v>500</v>
      </c>
      <c r="D27" s="29" t="n">
        <v>30</v>
      </c>
      <c r="E27" s="29">
        <f>C27*D27</f>
        <v/>
      </c>
      <c r="F27" s="30">
        <f>$B$7</f>
        <v/>
      </c>
      <c r="G27" s="30">
        <f>E27*F27</f>
        <v/>
      </c>
      <c r="H27" s="31">
        <f>G27/$G$30</f>
        <v/>
      </c>
      <c r="I27" s="30">
        <f>$B$16*H27</f>
        <v/>
      </c>
      <c r="J27" s="30">
        <f>$B$17/COUNTA($B$27:$B$29)</f>
        <v/>
      </c>
      <c r="K27" s="30">
        <f>$B$20*H27</f>
        <v/>
      </c>
      <c r="L27" s="30">
        <f>$B$21*H27</f>
        <v/>
      </c>
      <c r="M27" s="30">
        <f>$B$22*H27</f>
        <v/>
      </c>
      <c r="N27" s="30">
        <f>I27-M27</f>
        <v/>
      </c>
      <c r="O27" s="30">
        <f>$B$24*H27</f>
        <v/>
      </c>
      <c r="P27" s="30">
        <f>G27+J27+L27+M27</f>
        <v/>
      </c>
      <c r="Q27" s="32" t="n">
        <v>0.12</v>
      </c>
      <c r="R27" s="32" t="n">
        <v>0</v>
      </c>
      <c r="S27" s="32" t="n">
        <v>0.08</v>
      </c>
      <c r="T27" s="30">
        <f>P27*Q27+(P27+P27*Q27)*R27</f>
        <v/>
      </c>
      <c r="U27" s="30">
        <f>(T27+P27)*S27+(N27+O27+K27)*S27</f>
        <v/>
      </c>
      <c r="V27" s="30">
        <f>I27+J27+K27+L27+O27+T27</f>
        <v/>
      </c>
      <c r="W27" s="30">
        <f>IF(S27&gt;0, (U27/S27)+U27, 0)</f>
        <v/>
      </c>
      <c r="X27" s="30">
        <f>W27-G27</f>
        <v/>
      </c>
      <c r="Y27" s="33">
        <f>P27/C27/$B$6</f>
        <v/>
      </c>
      <c r="Z27" s="30">
        <f>(W27-U27)/C27</f>
        <v/>
      </c>
    </row>
    <row r="28" ht="22" customHeight="1">
      <c r="A28" s="15" t="n">
        <v>2</v>
      </c>
      <c r="B28" s="24" t="inlineStr">
        <is>
          <t>Quần Jean nữ Denim</t>
        </is>
      </c>
      <c r="C28" s="28" t="n">
        <v>300</v>
      </c>
      <c r="D28" s="29" t="n">
        <v>50</v>
      </c>
      <c r="E28" s="29">
        <f>C28*D28</f>
        <v/>
      </c>
      <c r="F28" s="30">
        <f>$B$7</f>
        <v/>
      </c>
      <c r="G28" s="30">
        <f>E28*F28</f>
        <v/>
      </c>
      <c r="H28" s="31">
        <f>G28/$G$30</f>
        <v/>
      </c>
      <c r="I28" s="30">
        <f>$B$16*H28</f>
        <v/>
      </c>
      <c r="J28" s="30">
        <f>$B$17/COUNTA($B$27:$B$29)</f>
        <v/>
      </c>
      <c r="K28" s="30">
        <f>$B$20*H28</f>
        <v/>
      </c>
      <c r="L28" s="30">
        <f>$B$21*H28</f>
        <v/>
      </c>
      <c r="M28" s="30">
        <f>$B$22*H28</f>
        <v/>
      </c>
      <c r="N28" s="30">
        <f>I28-M28</f>
        <v/>
      </c>
      <c r="O28" s="30">
        <f>$B$24*H28</f>
        <v/>
      </c>
      <c r="P28" s="30">
        <f>G28+J28+L28+M28</f>
        <v/>
      </c>
      <c r="Q28" s="32" t="n">
        <v>0.12</v>
      </c>
      <c r="R28" s="32" t="n">
        <v>0</v>
      </c>
      <c r="S28" s="32" t="n">
        <v>0.08</v>
      </c>
      <c r="T28" s="30">
        <f>P28*Q28+(P28+P28*Q28)*R28</f>
        <v/>
      </c>
      <c r="U28" s="30">
        <f>(T28+P28)*S28+(N28+O28+K28)*S28</f>
        <v/>
      </c>
      <c r="V28" s="30">
        <f>I28+J28+K28+L28+O28+T28</f>
        <v/>
      </c>
      <c r="W28" s="30">
        <f>IF(S28&gt;0, (U28/S28)+U28, 0)</f>
        <v/>
      </c>
      <c r="X28" s="30">
        <f>W28-G28</f>
        <v/>
      </c>
      <c r="Y28" s="33">
        <f>P28/C28/$B$6</f>
        <v/>
      </c>
      <c r="Z28" s="30">
        <f>(W28-U28)/C28</f>
        <v/>
      </c>
    </row>
    <row r="29" ht="22" customHeight="1">
      <c r="A29" s="15" t="n">
        <v>3</v>
      </c>
      <c r="B29" s="24" t="inlineStr">
        <is>
          <t>Giày Sneaker thể thao</t>
        </is>
      </c>
      <c r="C29" s="28" t="n">
        <v>200</v>
      </c>
      <c r="D29" s="29" t="n">
        <v>80</v>
      </c>
      <c r="E29" s="29">
        <f>C29*D29</f>
        <v/>
      </c>
      <c r="F29" s="30">
        <f>$B$7</f>
        <v/>
      </c>
      <c r="G29" s="30">
        <f>E29*F29</f>
        <v/>
      </c>
      <c r="H29" s="31">
        <f>G29/$G$30</f>
        <v/>
      </c>
      <c r="I29" s="30">
        <f>$B$16*H29</f>
        <v/>
      </c>
      <c r="J29" s="30">
        <f>$B$17/COUNTA($B$27:$B$29)</f>
        <v/>
      </c>
      <c r="K29" s="30">
        <f>$B$20*H29</f>
        <v/>
      </c>
      <c r="L29" s="30">
        <f>$B$21*H29</f>
        <v/>
      </c>
      <c r="M29" s="30">
        <f>$B$22*H29</f>
        <v/>
      </c>
      <c r="N29" s="30">
        <f>I29-M29</f>
        <v/>
      </c>
      <c r="O29" s="30">
        <f>$B$24*H29</f>
        <v/>
      </c>
      <c r="P29" s="30">
        <f>G29+J29+L29+M29</f>
        <v/>
      </c>
      <c r="Q29" s="32" t="n">
        <v>0.15</v>
      </c>
      <c r="R29" s="32" t="n">
        <v>0</v>
      </c>
      <c r="S29" s="32" t="n">
        <v>0.08</v>
      </c>
      <c r="T29" s="30">
        <f>P29*Q29+(P29+P29*Q29)*R29</f>
        <v/>
      </c>
      <c r="U29" s="30">
        <f>(T29+P29)*S29+(N29+O29+K29)*S29</f>
        <v/>
      </c>
      <c r="V29" s="30">
        <f>I29+J29+K29+L29+O29+T29</f>
        <v/>
      </c>
      <c r="W29" s="30">
        <f>IF(S29&gt;0, (U29/S29)+U29, 0)</f>
        <v/>
      </c>
      <c r="X29" s="30">
        <f>W29-G29</f>
        <v/>
      </c>
      <c r="Y29" s="33">
        <f>P29/C29/$B$6</f>
        <v/>
      </c>
      <c r="Z29" s="30">
        <f>(W29-U29)/C29</f>
        <v/>
      </c>
    </row>
    <row r="30" ht="24" customHeight="1">
      <c r="A30" s="34" t="inlineStr">
        <is>
          <t>TỔNG CỘNG LÔ HÀNG</t>
        </is>
      </c>
      <c r="B30" s="35" t="n"/>
      <c r="C30" s="35" t="n"/>
      <c r="D30" s="35" t="n"/>
      <c r="E30" s="36">
        <f>SUM(E27:E29)</f>
        <v/>
      </c>
      <c r="F30" s="35" t="n"/>
      <c r="G30" s="37">
        <f>SUM(G27:G29)</f>
        <v/>
      </c>
      <c r="H30" s="38">
        <f>SUM(H27:H29)</f>
        <v/>
      </c>
      <c r="I30" s="37">
        <f>SUM(I27:I29)</f>
        <v/>
      </c>
      <c r="J30" s="37">
        <f>SUM(J27:J29)</f>
        <v/>
      </c>
      <c r="K30" s="37">
        <f>SUM(K27:K29)</f>
        <v/>
      </c>
      <c r="L30" s="37">
        <f>SUM(L27:L29)</f>
        <v/>
      </c>
      <c r="M30" s="37">
        <f>SUM(M27:M29)</f>
        <v/>
      </c>
      <c r="N30" s="37">
        <f>SUM(N27:N29)</f>
        <v/>
      </c>
      <c r="O30" s="37">
        <f>SUM(O27:O29)</f>
        <v/>
      </c>
      <c r="P30" s="37">
        <f>SUM(P27:P29)</f>
        <v/>
      </c>
      <c r="Q30" s="35" t="n"/>
      <c r="R30" s="35" t="n"/>
      <c r="S30" s="35" t="n"/>
      <c r="T30" s="37">
        <f>SUM(T27:T29)</f>
        <v/>
      </c>
      <c r="U30" s="37">
        <f>SUM(U27:U29)</f>
        <v/>
      </c>
      <c r="V30" s="37">
        <f>SUM(V27:V29)</f>
        <v/>
      </c>
      <c r="W30" s="37">
        <f>SUM(W27:W29)</f>
        <v/>
      </c>
      <c r="X30" s="37">
        <f>SUM(X27:X29)</f>
        <v/>
      </c>
      <c r="Y30" s="35" t="n"/>
      <c r="Z30" s="35" t="n"/>
    </row>
    <row r="31"/>
    <row r="32">
      <c r="A32" s="39" t="inlineStr">
        <is>
          <t>C. PHÂN TÍCH GIÁ VỐN &amp; LỢI NHUẬN GỘP DỊCH VỤ LOGISTICS (LCL PROFIT METRICS)</t>
        </is>
      </c>
    </row>
    <row r="33"/>
    <row r="34" ht="20" customHeight="1">
      <c r="A34" s="12" t="inlineStr">
        <is>
          <t>Cước quốc tế định mức (Base Freight Cost)</t>
        </is>
      </c>
      <c r="B34" s="14">
        <f>B22</f>
        <v/>
      </c>
      <c r="C34" s="20" t="inlineStr">
        <is>
          <t>CBM × Đơn giá QC/BT</t>
        </is>
      </c>
    </row>
    <row r="35" ht="20" customHeight="1">
      <c r="A35" s="12" t="inlineStr">
        <is>
          <t>Phí Ủy thác định mức (Base Trustee Cost)</t>
        </is>
      </c>
      <c r="B35" s="14">
        <f>COUNTA(B27:B29)*400000</f>
        <v/>
      </c>
      <c r="C35" s="20" t="inlineStr">
        <is>
          <t>Số dòng mặt hàng × 400.000đ</t>
        </is>
      </c>
    </row>
    <row r="36" ht="20" customHeight="1">
      <c r="A36" s="12" t="inlineStr">
        <is>
          <t>Phí Rủi ro định mức (Base Risk Cost)</t>
        </is>
      </c>
      <c r="B36" s="14">
        <f>B20</f>
        <v/>
      </c>
      <c r="C36" s="20" t="inlineStr">
        <is>
          <t>1% trên giá trị vượt ngưỡng BH</t>
        </is>
      </c>
    </row>
    <row r="37" ht="20" customHeight="1">
      <c r="A37" s="12" t="inlineStr">
        <is>
          <t>Phí Khác TQ định mức (Base Other CN Cost)</t>
        </is>
      </c>
      <c r="B37" s="14">
        <f>B21</f>
        <v/>
      </c>
      <c r="C37" s="20" t="inlineStr">
        <is>
          <t>Phí thủ tục chặng TQ</t>
        </is>
      </c>
    </row>
    <row r="38" ht="20" customHeight="1">
      <c r="A38" s="12" t="inlineStr">
        <is>
          <t>Phí Khác VN định mức (Base Other VN Cost)</t>
        </is>
      </c>
      <c r="B38" s="14">
        <f>B24</f>
        <v/>
      </c>
      <c r="C38" s="20" t="inlineStr">
        <is>
          <t>Phí thủ tục chặng VN</t>
        </is>
      </c>
    </row>
    <row r="39" ht="20" customHeight="1">
      <c r="A39" s="40" t="inlineStr">
        <is>
          <t>TỔNG GIÁ VỐN DỊCH VỤ (COST PRICE / GIÁ NỀN)</t>
        </is>
      </c>
      <c r="B39" s="41">
        <f>SUM(B34:B38)</f>
        <v/>
      </c>
      <c r="C39" s="42" t="inlineStr">
        <is>
          <t>Tổng chi phí nền của nhà xe/logistics</t>
        </is>
      </c>
    </row>
    <row r="40" ht="20" customHeight="1">
      <c r="A40" s="40" t="inlineStr">
        <is>
          <t>TỔNG DOANH THU DỊCH VỤ (SELLING PRICE / GIÁ BÁO GIÁ)</t>
        </is>
      </c>
      <c r="B40" s="41">
        <f>B16+B17+B20+B21+B24</f>
        <v/>
      </c>
      <c r="C40" s="42" t="inlineStr">
        <is>
          <t>Tổng cước phí thu của khách hàng</t>
        </is>
      </c>
    </row>
    <row r="41" ht="20" customHeight="1">
      <c r="A41" s="40" t="inlineStr">
        <is>
          <t>LỢI NHUẬN GỘP DỰ KIẾN (EXPECTED PROFIT)</t>
        </is>
      </c>
      <c r="B41" s="41">
        <f>B40-B39</f>
        <v/>
      </c>
      <c r="C41" s="42" t="inlineStr">
        <is>
          <t>Doanh thu dịch vụ - Giá vốn dịch vụ</t>
        </is>
      </c>
    </row>
    <row r="42" ht="20" customHeight="1">
      <c r="A42" s="40" t="inlineStr">
        <is>
          <t>TỶ SUẤT LỢI NHUẬN GỘP (PROFIT MARGIN %)</t>
        </is>
      </c>
      <c r="B42" s="43">
        <f>B41/B40</f>
        <v/>
      </c>
      <c r="C42" s="42" t="inlineStr">
        <is>
          <t>Lợi nhuận gộp / Doanh thu dịch vụ</t>
        </is>
      </c>
    </row>
  </sheetData>
  <mergeCells count="4">
    <mergeCell ref="A25:Z25"/>
    <mergeCell ref="A1:Z2"/>
    <mergeCell ref="A5:E5"/>
    <mergeCell ref="A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MÔ HÌNH TÍNH GIÁ &amp; PHÂN BỔ CHI PHÍ HÀNG NGUYÊN CONT (FCL)</t>
        </is>
      </c>
    </row>
    <row r="2"/>
    <row r="3">
      <c r="A3" s="17" t="inlineStr">
        <is>
          <t>Bảng phân bổ chi phí chi tiết từng mặt hàng FCL (C1 đến C16) tích hợp Công thức Excel Động</t>
        </is>
      </c>
    </row>
    <row r="4"/>
    <row r="5">
      <c r="A5" s="18" t="inlineStr">
        <is>
          <t>A. THAM SỐ THÔNG TIN LÔ HÀNG FCL (HEADER INPUTS)</t>
        </is>
      </c>
    </row>
    <row r="6" ht="19" customHeight="1">
      <c r="A6" s="12" t="inlineStr">
        <is>
          <t>Tỷ giá USD/VND</t>
        </is>
      </c>
      <c r="B6" s="19" t="n">
        <v>25400</v>
      </c>
      <c r="C6" s="20" t="inlineStr">
        <is>
          <t>USD Rate</t>
        </is>
      </c>
    </row>
    <row r="7" ht="19" customHeight="1">
      <c r="A7" s="12" t="inlineStr">
        <is>
          <t>Tỷ giá RMB/VND</t>
        </is>
      </c>
      <c r="B7" s="19" t="n">
        <v>3600</v>
      </c>
      <c r="C7" s="20" t="inlineStr">
        <is>
          <t>RMB Rate</t>
        </is>
      </c>
    </row>
    <row r="8" ht="19" customHeight="1">
      <c r="A8" s="12" t="inlineStr">
        <is>
          <t>Phí Nội Địa TQ (VND)</t>
        </is>
      </c>
      <c r="B8" s="19" t="n">
        <v>3500000</v>
      </c>
      <c r="C8" s="20" t="inlineStr">
        <is>
          <t>Phí kéo cont &amp; bốc xếp TQ</t>
        </is>
      </c>
    </row>
    <row r="9" ht="19" customHeight="1">
      <c r="A9" s="12" t="inlineStr">
        <is>
          <t>Phí Nội Địa VN (VND)</t>
        </is>
      </c>
      <c r="B9" s="19" t="n">
        <v>4000000</v>
      </c>
      <c r="C9" s="20" t="inlineStr">
        <is>
          <t>Phí nâng hạ, THC &amp; thủ tục VN</t>
        </is>
      </c>
    </row>
    <row r="10" ht="19" customHeight="1">
      <c r="A10" s="12" t="inlineStr">
        <is>
          <t>Phí Ủy Thác (VND)</t>
        </is>
      </c>
      <c r="B10" s="19" t="n">
        <v>2000000</v>
      </c>
      <c r="C10" s="20" t="inlineStr">
        <is>
          <t>FCL phân bổ theo C1</t>
        </is>
      </c>
    </row>
    <row r="11" ht="19" customHeight="1">
      <c r="A11" s="12" t="inlineStr">
        <is>
          <t>Phí QT + VC QT (VND)</t>
        </is>
      </c>
      <c r="B11" s="19" t="n">
        <v>25000000</v>
      </c>
      <c r="C11" s="20" t="inlineStr">
        <is>
          <t>Cước vận chuyển biển/bộ nguyên cont</t>
        </is>
      </c>
    </row>
    <row r="12" ht="19" customHeight="1">
      <c r="A12" s="12" t="inlineStr">
        <is>
          <t>Phí VC VN (Nội địa) (VND)</t>
        </is>
      </c>
      <c r="B12" s="19" t="n">
        <v>6000000</v>
      </c>
      <c r="C12" s="20" t="inlineStr">
        <is>
          <t>Cước kéo container về kho khách</t>
        </is>
      </c>
    </row>
    <row r="13" ht="19" customHeight="1">
      <c r="A13" s="12" t="inlineStr">
        <is>
          <t>Tổng Trị Giá Mua Gốc (VND)</t>
        </is>
      </c>
      <c r="B13" s="14">
        <f>SUM(G20:G21)</f>
        <v/>
      </c>
      <c r="C13" s="20" t="inlineStr">
        <is>
          <t>Tổng C1 lô hàng FCL</t>
        </is>
      </c>
    </row>
    <row r="14"/>
    <row r="15"/>
    <row r="16"/>
    <row r="17"/>
    <row r="18">
      <c r="A18" s="27" t="inlineStr">
        <is>
          <t>B. BẢNG PHÂN BỔ CHI TIẾT TỪNG MẶT HÀNG FCL (LINE ITEMS ALLOCATION TABLE)</t>
        </is>
      </c>
    </row>
    <row r="19" ht="28" customHeight="1">
      <c r="A19" s="6" t="inlineStr">
        <is>
          <t>STT</t>
        </is>
      </c>
      <c r="B19" s="6" t="inlineStr">
        <is>
          <t>Tên Mặt Hàng</t>
        </is>
      </c>
      <c r="C19" s="6" t="inlineStr">
        <is>
          <t>Số Lượng</t>
        </is>
      </c>
      <c r="D19" s="6" t="inlineStr">
        <is>
          <t>Đơn Giá (RMB)</t>
        </is>
      </c>
      <c r="E19" s="6" t="inlineStr">
        <is>
          <t>Tổng Giá Trị (RMB)</t>
        </is>
      </c>
      <c r="F19" s="6" t="inlineStr">
        <is>
          <t>Tỷ Giá RMB</t>
        </is>
      </c>
      <c r="G19" s="6" t="inlineStr">
        <is>
          <t>(C1) Trị Giá Hàng (VND)</t>
        </is>
      </c>
      <c r="H19" s="6" t="inlineStr">
        <is>
          <t>Tỷ Lệ Phân Bổ (Ratio)</t>
        </is>
      </c>
      <c r="I19" s="6" t="inlineStr">
        <is>
          <t>(C2) Phí NĐ TQ</t>
        </is>
      </c>
      <c r="J19" s="6" t="inlineStr">
        <is>
          <t>(C3) Phí NĐ VN</t>
        </is>
      </c>
      <c r="K19" s="6" t="inlineStr">
        <is>
          <t>(C4) Phí Ủy Thác</t>
        </is>
      </c>
      <c r="L19" s="6" t="inlineStr">
        <is>
          <t>(C5) Phí QT + VC QT</t>
        </is>
      </c>
      <c r="M19" s="6" t="inlineStr">
        <is>
          <t>(C6) Phí VC VN</t>
        </is>
      </c>
      <c r="N19" s="6" t="inlineStr">
        <is>
          <t>(C7) Giá EXW</t>
        </is>
      </c>
      <c r="O19" s="6" t="inlineStr">
        <is>
          <t>(C8) Giá CIF</t>
        </is>
      </c>
      <c r="P19" s="6" t="inlineStr">
        <is>
          <t>(C9) Thuế NK (%)</t>
        </is>
      </c>
      <c r="Q19" s="6" t="inlineStr">
        <is>
          <t>(C10) Thuế Khác (%)</t>
        </is>
      </c>
      <c r="R19" s="6" t="inlineStr">
        <is>
          <t>(C11) VAT (%)</t>
        </is>
      </c>
      <c r="S19" s="6" t="inlineStr">
        <is>
          <t>(C12) Thuế Trực Tiếp</t>
        </is>
      </c>
      <c r="T19" s="6" t="inlineStr">
        <is>
          <t>(C13) Tiền Thuế VAT</t>
        </is>
      </c>
      <c r="U19" s="6" t="inlineStr">
        <is>
          <t>(C14) Tổng CP Chưa VAT</t>
        </is>
      </c>
      <c r="V19" s="6" t="inlineStr">
        <is>
          <t>(C15) Xuất HĐ (Đã VAT)</t>
        </is>
      </c>
      <c r="W19" s="6" t="inlineStr">
        <is>
          <t>(C16) Khách Chuyển Thêm</t>
        </is>
      </c>
      <c r="X19" s="6" t="inlineStr">
        <is>
          <t>Đơn Giá EXW ($)</t>
        </is>
      </c>
      <c r="Y19" s="6" t="inlineStr">
        <is>
          <t>Đơn Giá Xuất HĐ</t>
        </is>
      </c>
    </row>
    <row r="20" ht="22" customHeight="1">
      <c r="A20" s="15" t="n">
        <v>1</v>
      </c>
      <c r="B20" s="24" t="inlineStr">
        <is>
          <t>Máy đóng gói tự động</t>
        </is>
      </c>
      <c r="C20" s="28" t="n">
        <v>2</v>
      </c>
      <c r="D20" s="29" t="n">
        <v>33333.33</v>
      </c>
      <c r="E20" s="29">
        <f>C20*D20</f>
        <v/>
      </c>
      <c r="F20" s="30">
        <f>$B$7</f>
        <v/>
      </c>
      <c r="G20" s="30">
        <f>E20*F20</f>
        <v/>
      </c>
      <c r="H20" s="31">
        <f>G20/$G$22</f>
        <v/>
      </c>
      <c r="I20" s="30">
        <f>$B$8*H20</f>
        <v/>
      </c>
      <c r="J20" s="30">
        <f>$B$9*H20</f>
        <v/>
      </c>
      <c r="K20" s="30">
        <f>$B$10*H20</f>
        <v/>
      </c>
      <c r="L20" s="30">
        <f>$B$11*H20</f>
        <v/>
      </c>
      <c r="M20" s="30">
        <f>$B$12*H20</f>
        <v/>
      </c>
      <c r="N20" s="30">
        <f>G20+I20+J20+K20</f>
        <v/>
      </c>
      <c r="O20" s="30">
        <f>N20+L20</f>
        <v/>
      </c>
      <c r="P20" s="32" t="n">
        <v>0.05</v>
      </c>
      <c r="Q20" s="32" t="n">
        <v>0</v>
      </c>
      <c r="R20" s="32" t="n">
        <v>0.08</v>
      </c>
      <c r="S20" s="30">
        <f>O20*P20+(O20+O20*P20)*Q20</f>
        <v/>
      </c>
      <c r="T20" s="30">
        <f>(S20+O20)*R20+M20*R20</f>
        <v/>
      </c>
      <c r="U20" s="30">
        <f>I20+J20+K20+L20+M20+S20</f>
        <v/>
      </c>
      <c r="V20" s="30">
        <f>IF(R20&gt;0, (T20/R20)+T20, 0)</f>
        <v/>
      </c>
      <c r="W20" s="30">
        <f>V20-G20</f>
        <v/>
      </c>
      <c r="X20" s="33">
        <f>N20/C20/$B$6</f>
        <v/>
      </c>
      <c r="Y20" s="30">
        <f>(V20-T20)/C20</f>
        <v/>
      </c>
    </row>
    <row r="21" ht="22" customHeight="1">
      <c r="A21" s="15" t="n">
        <v>2</v>
      </c>
      <c r="B21" s="24" t="inlineStr">
        <is>
          <t>Linh kiện phụ tùng thay thế</t>
        </is>
      </c>
      <c r="C21" s="28" t="n">
        <v>50</v>
      </c>
      <c r="D21" s="29" t="n">
        <v>4444.44</v>
      </c>
      <c r="E21" s="29">
        <f>C21*D21</f>
        <v/>
      </c>
      <c r="F21" s="30">
        <f>$B$7</f>
        <v/>
      </c>
      <c r="G21" s="30">
        <f>E21*F21</f>
        <v/>
      </c>
      <c r="H21" s="31">
        <f>G21/$G$22</f>
        <v/>
      </c>
      <c r="I21" s="30">
        <f>$B$8*H21</f>
        <v/>
      </c>
      <c r="J21" s="30">
        <f>$B$9*H21</f>
        <v/>
      </c>
      <c r="K21" s="30">
        <f>$B$10*H21</f>
        <v/>
      </c>
      <c r="L21" s="30">
        <f>$B$11*H21</f>
        <v/>
      </c>
      <c r="M21" s="30">
        <f>$B$12*H21</f>
        <v/>
      </c>
      <c r="N21" s="30">
        <f>G21+I21+J21+K21</f>
        <v/>
      </c>
      <c r="O21" s="30">
        <f>N21+L21</f>
        <v/>
      </c>
      <c r="P21" s="32" t="n">
        <v>0.1</v>
      </c>
      <c r="Q21" s="32" t="n">
        <v>0</v>
      </c>
      <c r="R21" s="32" t="n">
        <v>0.08</v>
      </c>
      <c r="S21" s="30">
        <f>O21*P21+(O21+O21*P21)*Q21</f>
        <v/>
      </c>
      <c r="T21" s="30">
        <f>(S21+O21)*R21+M21*R21</f>
        <v/>
      </c>
      <c r="U21" s="30">
        <f>I21+J21+K21+L21+M21+S21</f>
        <v/>
      </c>
      <c r="V21" s="30">
        <f>IF(R21&gt;0, (T21/R21)+T21, 0)</f>
        <v/>
      </c>
      <c r="W21" s="30">
        <f>V21-G21</f>
        <v/>
      </c>
      <c r="X21" s="33">
        <f>N21/C21/$B$6</f>
        <v/>
      </c>
      <c r="Y21" s="30">
        <f>(V21-T21)/C21</f>
        <v/>
      </c>
    </row>
    <row r="22" ht="24" customHeight="1">
      <c r="A22" s="34" t="inlineStr">
        <is>
          <t>TỔNG CỘNG LÔ HÀNG</t>
        </is>
      </c>
      <c r="B22" s="35" t="n"/>
      <c r="C22" s="35" t="n"/>
      <c r="D22" s="35" t="n"/>
      <c r="E22" s="36">
        <f>SUM(E20:E21)</f>
        <v/>
      </c>
      <c r="F22" s="35" t="n"/>
      <c r="G22" s="37">
        <f>SUM(G20:G21)</f>
        <v/>
      </c>
      <c r="H22" s="38">
        <f>SUM(H20:H21)</f>
        <v/>
      </c>
      <c r="I22" s="37">
        <f>SUM(I20:I21)</f>
        <v/>
      </c>
      <c r="J22" s="37">
        <f>SUM(J20:J21)</f>
        <v/>
      </c>
      <c r="K22" s="37">
        <f>SUM(K20:K21)</f>
        <v/>
      </c>
      <c r="L22" s="37">
        <f>SUM(L20:L21)</f>
        <v/>
      </c>
      <c r="M22" s="37">
        <f>SUM(M20:M21)</f>
        <v/>
      </c>
      <c r="N22" s="37">
        <f>SUM(N20:N21)</f>
        <v/>
      </c>
      <c r="O22" s="37">
        <f>SUM(O20:O21)</f>
        <v/>
      </c>
      <c r="P22" s="35" t="n"/>
      <c r="Q22" s="35" t="n"/>
      <c r="R22" s="35" t="n"/>
      <c r="S22" s="37">
        <f>SUM(S20:S21)</f>
        <v/>
      </c>
      <c r="T22" s="37">
        <f>SUM(T20:T21)</f>
        <v/>
      </c>
      <c r="U22" s="37">
        <f>SUM(U20:U21)</f>
        <v/>
      </c>
      <c r="V22" s="37">
        <f>SUM(V20:V21)</f>
        <v/>
      </c>
      <c r="W22" s="37">
        <f>SUM(W20:W21)</f>
        <v/>
      </c>
      <c r="X22" s="35" t="n"/>
      <c r="Y22" s="35" t="n"/>
    </row>
    <row r="23"/>
    <row r="24">
      <c r="A24" s="39" t="inlineStr">
        <is>
          <t>C. PHÂN TÍCH GIÁ VỐN &amp; LỢI NHUẬN GỘP DỊCH VỤ LOGISTICS (FCL PROFIT METRICS)</t>
        </is>
      </c>
    </row>
    <row r="25"/>
    <row r="26" ht="20" customHeight="1">
      <c r="A26" s="40" t="inlineStr">
        <is>
          <t>TỔNG GIÁ VỐN DỊCH VỤ (COST PRICE / GIÁ NỀN FCL)</t>
        </is>
      </c>
      <c r="B26" s="41">
        <f>B8+B9+B10+B11+B12</f>
        <v/>
      </c>
      <c r="C26" s="42" t="inlineStr">
        <is>
          <t>Tổng chi phí thực tế các chặng FCL</t>
        </is>
      </c>
    </row>
    <row r="27" ht="20" customHeight="1">
      <c r="A27" s="40" t="inlineStr">
        <is>
          <t>TỔNG DOANH THU DỊCH VỤ (SELLING PRICE / GIÁ BÁO GIÁ FCL)</t>
        </is>
      </c>
      <c r="B27" s="41">
        <f>B8+B9+B10+B11+B12</f>
        <v/>
      </c>
      <c r="C27" s="42" t="inlineStr">
        <is>
          <t>Tổng phí thu dịch vụ FCL</t>
        </is>
      </c>
    </row>
    <row r="28" ht="20" customHeight="1">
      <c r="A28" s="40" t="inlineStr">
        <is>
          <t>LỢI NHUẬN GỘP DỰ KIẾN (EXPECTED PROFIT)</t>
        </is>
      </c>
      <c r="B28" s="41">
        <f>B27-B26</f>
        <v/>
      </c>
      <c r="C28" s="42" t="inlineStr">
        <is>
          <t>Doanh thu FCL - Giá vốn FCL</t>
        </is>
      </c>
    </row>
    <row r="29" ht="20" customHeight="1">
      <c r="A29" s="40" t="inlineStr">
        <is>
          <t>TỶ SUẤT LỢI NHUẬN GỘP (PROFIT MARGIN %)</t>
        </is>
      </c>
      <c r="B29" s="43">
        <f>IF(B27&gt;0, B28/B27, 0)</f>
        <v/>
      </c>
      <c r="C29" s="42" t="inlineStr">
        <is>
          <t>Lợi nhuận gộp / Doanh thu FCL</t>
        </is>
      </c>
    </row>
  </sheetData>
  <mergeCells count="4">
    <mergeCell ref="A18:Y18"/>
    <mergeCell ref="A1:Y2"/>
    <mergeCell ref="A5:E5"/>
    <mergeCell ref="A24:E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22" customWidth="1" min="4" max="4"/>
    <col width="30" customWidth="1" min="5" max="5"/>
    <col width="35" customWidth="1" min="6" max="6"/>
  </cols>
  <sheetData>
    <row r="1">
      <c r="A1" s="1" t="inlineStr">
        <is>
          <t>SƠ ĐỒ BÚT TOÁN KẾ TOÁN &amp; SO SÁNH ĐẶC THÙ LCL / FCL</t>
        </is>
      </c>
    </row>
    <row r="2"/>
    <row r="3">
      <c r="A3" s="17" t="inlineStr">
        <is>
          <t>Quy trình Hạch toán Kế toán chuẩn cho Hệ thống 1 Sổ &amp; Hướng dẫn Kiểm soát Chứng từ</t>
        </is>
      </c>
    </row>
    <row r="4"/>
    <row r="5">
      <c r="A5" s="3" t="inlineStr">
        <is>
          <t>1. HƯỚNG DẪN BÚT TOÁN HẠCH TOÁN KẾ TOÁN THEO HỆ THỐNG 1 SỔ</t>
        </is>
      </c>
    </row>
    <row r="6" ht="24" customHeight="1">
      <c r="A6" s="6" t="inlineStr">
        <is>
          <t>STT</t>
        </is>
      </c>
      <c r="B6" s="6" t="inlineStr">
        <is>
          <t>Nội Dung Bút Toán / Nghiệp Vụ</t>
        </is>
      </c>
      <c r="C6" s="6" t="inlineStr">
        <is>
          <t>Tài Khoản Nợ</t>
        </is>
      </c>
      <c r="D6" s="6" t="inlineStr">
        <is>
          <t>Tài Khoản Có</t>
        </is>
      </c>
      <c r="E6" s="6" t="inlineStr">
        <is>
          <t>Số Tiền Hạch Toán</t>
        </is>
      </c>
      <c r="F6" s="6" t="inlineStr">
        <is>
          <t>Chứng Từ Căn Cứ</t>
        </is>
      </c>
    </row>
    <row r="7" ht="32" customHeight="1">
      <c r="A7" s="44" t="n">
        <v>1</v>
      </c>
      <c r="B7" s="45" t="inlineStr">
        <is>
          <t>Thanh toán tiền mua hàng chặng 1 cho NCC TQ</t>
        </is>
      </c>
      <c r="C7" s="46" t="inlineStr">
        <is>
          <t>TK 331 (Phải trả NCC TQ)</t>
        </is>
      </c>
      <c r="D7" s="46" t="inlineStr">
        <is>
          <t>TK 112 (Tiền gửi NH)</t>
        </is>
      </c>
      <c r="E7" s="47" t="inlineStr">
        <is>
          <t>Giá trị tiền mua hàng (RMB × Tỷ giá)</t>
        </is>
      </c>
      <c r="F7" s="48" t="inlineStr">
        <is>
          <t>Ủy nhiệm chi / Giấy báo Nợ NH</t>
        </is>
      </c>
    </row>
    <row r="8" ht="32" customHeight="1">
      <c r="A8" s="49" t="n">
        <v>2</v>
      </c>
      <c r="B8" s="12" t="inlineStr">
        <is>
          <t>Nhập kho hàng hóa (Giá thành nhập kho C15/C14)</t>
        </is>
      </c>
      <c r="C8" s="50" t="inlineStr">
        <is>
          <t>TK 1561 (Hàng hóa nhập kho)</t>
        </is>
      </c>
      <c r="D8" s="50" t="inlineStr">
        <is>
          <t>TK 331 (Tiền hàng mua gốc C1)
TK 3333 (Thuế NK C13/C12)
TK 3332 (Thuế TTĐB nếu có)
TK 331/338 (Phí Logistics/Cước)</t>
        </is>
      </c>
      <c r="E8" s="9" t="inlineStr">
        <is>
          <t>Tổng Giá thành chưa VAT (C15 LCL / C14 FCL)</t>
        </is>
      </c>
      <c r="F8" s="20" t="inlineStr">
        <is>
          <t>Tờ khai Hải quan nhập khẩu &amp; Bảng Phân bổ 1 Sổ</t>
        </is>
      </c>
    </row>
    <row r="9" ht="32" customHeight="1">
      <c r="A9" s="44" t="n">
        <v>3</v>
      </c>
      <c r="B9" s="45" t="inlineStr">
        <is>
          <t>Ghi nhận Thuế VAT hàng NK nộp cửa khẩu</t>
        </is>
      </c>
      <c r="C9" s="46" t="inlineStr">
        <is>
          <t>TK 1331 (VAT được khấu trừ)</t>
        </is>
      </c>
      <c r="D9" s="46" t="inlineStr">
        <is>
          <t>TK 33312 (Thuế VAT hàng NK)</t>
        </is>
      </c>
      <c r="E9" s="47" t="inlineStr">
        <is>
          <t>Số tiền thuế VAT cửa khẩu</t>
        </is>
      </c>
      <c r="F9" s="48" t="inlineStr">
        <is>
          <t>Thông báo nộp thuế / Biên lai nộp NSNN</t>
        </is>
      </c>
    </row>
    <row r="10" ht="32" customHeight="1">
      <c r="A10" s="49" t="n">
        <v>4</v>
      </c>
      <c r="B10" s="12" t="inlineStr">
        <is>
          <t>Ghi nhận Thuế VAT phí dịch vụ logistics nội địa</t>
        </is>
      </c>
      <c r="C10" s="50" t="inlineStr">
        <is>
          <t>TK 1331 (VAT được khấu trừ)</t>
        </is>
      </c>
      <c r="D10" s="50" t="inlineStr">
        <is>
          <t>TK 331 / 338 (Công ty Logistics)</t>
        </is>
      </c>
      <c r="E10" s="9" t="inlineStr">
        <is>
          <t>Số tiền thuế VAT trên hóa đơn GTGT dịch vụ</t>
        </is>
      </c>
      <c r="F10" s="20" t="inlineStr">
        <is>
          <t>Hóa đơn GTGT của Công ty Logistics</t>
        </is>
      </c>
    </row>
    <row r="11" ht="32" customHeight="1">
      <c r="A11" s="44" t="n">
        <v>5</v>
      </c>
      <c r="B11" s="45" t="inlineStr">
        <is>
          <t>Xuất hóa đơn tài chính bàn giao cho khách (1 Sổ)</t>
        </is>
      </c>
      <c r="C11" s="46" t="inlineStr">
        <is>
          <t>TK 131 (Phải thu khách hàng)</t>
        </is>
      </c>
      <c r="D11" s="46" t="inlineStr">
        <is>
          <t>TK 511 (Doanh thu bán hàng/DV)
TK 33311 (Thuế VAT đầu ra)</t>
        </is>
      </c>
      <c r="E11" s="47" t="inlineStr">
        <is>
          <t>Tổng giá trị xuất HĐ đã VAT (C16 LCL / C15 FCL)</t>
        </is>
      </c>
      <c r="F11" s="48" t="inlineStr">
        <is>
          <t>Hóa đơn tài chính xuất trả cho khách hàng</t>
        </is>
      </c>
    </row>
    <row r="12" ht="32" customHeight="1">
      <c r="A12" s="49" t="n">
        <v>6</v>
      </c>
      <c r="B12" s="12" t="inlineStr">
        <is>
          <t>Tất toán công nợ chênh lệch / Thu tiền Lần 2</t>
        </is>
      </c>
      <c r="C12" s="50" t="inlineStr">
        <is>
          <t>TK 112 (Tiền gửi NH)</t>
        </is>
      </c>
      <c r="D12" s="50" t="inlineStr">
        <is>
          <t>TK 131 (Phải thu khách hàng)</t>
        </is>
      </c>
      <c r="E12" s="9" t="inlineStr">
        <is>
          <t>Số tiền chuyển thêm (C17 LCL / C16 FCL)</t>
        </is>
      </c>
      <c r="F12" s="20" t="inlineStr">
        <is>
          <t>Ủy nhiệm chi / Giấy báo Có NH</t>
        </is>
      </c>
    </row>
    <row r="13"/>
    <row r="14"/>
    <row r="15">
      <c r="A15" s="3" t="inlineStr">
        <is>
          <t>2. BẢNG SO SÁNH ĐẶC THÙ PHÂN BỔ KẾ TOÁN GIỮA LCL VÀ FCL</t>
        </is>
      </c>
    </row>
    <row r="16" ht="24" customHeight="1">
      <c r="A16" s="51" t="inlineStr">
        <is>
          <t>Tiêu Chí So Sánh</t>
        </is>
      </c>
      <c r="B16" s="51" t="inlineStr">
        <is>
          <t>Mô Hình Hàng Gom Cont (LCL)</t>
        </is>
      </c>
      <c r="C16" s="51" t="inlineStr">
        <is>
          <t>Mô Hình Hàng Nguyên Cont (FCL)</t>
        </is>
      </c>
      <c r="D16" s="51" t="inlineStr">
        <is>
          <t>Điểm Cần Lưu Ý Cho Kế Toán</t>
        </is>
      </c>
    </row>
    <row r="17" ht="30" customHeight="1">
      <c r="A17" s="12" t="inlineStr">
        <is>
          <t>Phân bổ Phí Ủy Thác</t>
        </is>
      </c>
      <c r="B17" s="9" t="inlineStr">
        <is>
          <t>Chia đều theo số lượng dòng mặt hàng (C3 = Tổng Phí UT / Số mục)</t>
        </is>
      </c>
      <c r="C17" s="9" t="inlineStr">
        <is>
          <t>Phân bổ theo tỷ lệ giá trị hàng C1 (C4 = Tổng Phí UT × Ratio)</t>
        </is>
      </c>
      <c r="D17" s="20" t="inlineStr">
        <is>
          <t>LCL bảo vệ các dòng hàng giá trị nhỏ không bị gánh quá nhiều phí UT gốc</t>
        </is>
      </c>
    </row>
    <row r="18" ht="30" customHeight="1">
      <c r="A18" s="12" t="inlineStr">
        <is>
          <t>Tính toán Phí Rủi Ro</t>
        </is>
      </c>
      <c r="B18" s="9" t="inlineStr">
        <is>
          <t>Có áp dụng phí rủi ro 1% khi trị giá &gt; K × 100tr VND</t>
        </is>
      </c>
      <c r="C18" s="9" t="inlineStr">
        <is>
          <t>Không áp dụng phí rủi ro riêng (đã tính trong gói cước cont)</t>
        </is>
      </c>
      <c r="D18" s="20" t="inlineStr">
        <is>
          <t>Phí rủi ro LCL được phân bổ vào chi phí nhưng BỎ KHỎI GIÁ CIF</t>
        </is>
      </c>
    </row>
    <row r="19" ht="30" customHeight="1">
      <c r="A19" s="12" t="inlineStr">
        <is>
          <t>Phần Cước VC Chịu VAT</t>
        </is>
      </c>
      <c r="B19" s="9" t="inlineStr">
        <is>
          <t>Phí VC VN (C7) + Phí Khác VN (C8) + Phí RR (C4) chịu VAT 8/10%</t>
        </is>
      </c>
      <c r="C19" s="9" t="inlineStr">
        <is>
          <t>Phí VC VN (C6) chịu thuế VAT 8/10%</t>
        </is>
      </c>
      <c r="D19" s="20" t="inlineStr">
        <is>
          <t>Cước chặng quốc tế C6 (LCL) hoặc C5 (FCL) không chịu VAT nội địa</t>
        </is>
      </c>
    </row>
    <row r="20" ht="30" customHeight="1">
      <c r="A20" s="12" t="inlineStr">
        <is>
          <t>Trị giá Hải quan (CIF)</t>
        </is>
      </c>
      <c r="B20" s="9" t="inlineStr">
        <is>
          <t>C9 = C1 + C3 + C5 + C6</t>
        </is>
      </c>
      <c r="C20" s="9" t="inlineStr">
        <is>
          <t>C8 = C7 + C5 = C1 + C2 + C3 + C4 + C5</t>
        </is>
      </c>
      <c r="D20" s="20" t="inlineStr">
        <is>
          <t>Xác định chính xác để khớp với trị giá ghi trên Tờ khai Hải quan</t>
        </is>
      </c>
    </row>
    <row r="21" ht="30" customHeight="1">
      <c r="A21" s="12" t="inlineStr">
        <is>
          <t>Cơ sở Tính Doanh Thu HĐ</t>
        </is>
      </c>
      <c r="B21" s="9" t="inlineStr">
        <is>
          <t>C16 = VAT / VAT% + VAT</t>
        </is>
      </c>
      <c r="C21" s="9" t="inlineStr">
        <is>
          <t>C15 = VAT / VAT% + VAT</t>
        </is>
      </c>
      <c r="D21" s="20" t="inlineStr">
        <is>
          <t>Giá trị hóa đơn xuất ra đảm bảo khớp đúng tổng số thuế VAT nộp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2026-08-17T05:08:01Z</dcterms:created>
  <dcterms:modified xsi:type="dcterms:W3CDTF">2026-08-17T05:08:01Z</dcterms:modified>
</cp:coreProperties>
</file>