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I AGENT THUY\AI agent Kinh doanh\templates\OneDrive_1_29-5-2026\4. MẪU SC INV PKL XUẤT NHẬP KHẨU\(NEW) CHỨNG TỪ MẪU 2024\"/>
    </mc:Choice>
  </mc:AlternateContent>
  <xr:revisionPtr revIDLastSave="0" documentId="13_ncr:1_{9C4FA065-BA9D-4A0E-9AB3-41BD6B72F18B}" xr6:coauthVersionLast="47" xr6:coauthVersionMax="47" xr10:uidLastSave="{00000000-0000-0000-0000-000000000000}"/>
  <bookViews>
    <workbookView xWindow="28680" yWindow="-120" windowWidth="29040" windowHeight="15840" xr2:uid="{A0629D79-C21C-4793-B6D7-86522A572109}"/>
  </bookViews>
  <sheets>
    <sheet name="Sales Contract" sheetId="4" r:id="rId1"/>
    <sheet name="Comercial Invoice" sheetId="1" r:id="rId2"/>
    <sheet name="Packing List" sheetId="3" r:id="rId3"/>
    <sheet name="Mẫu 1(dự bị)" sheetId="2" r:id="rId4"/>
    <sheet name="申报要素" sheetId="5" r:id="rId5"/>
    <sheet name="报关单" sheetId="6" r:id="rId6"/>
  </sheets>
  <definedNames>
    <definedName name="_xlnm.Print_Area" localSheetId="3">'Mẫu 1(dự bị)'!$A$1:$H$49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a="1"/>
  <c r="A26" i="1"/>
  <c r="A27" i="4" a="1"/>
  <c r="A27" i="4"/>
  <c r="G24" i="3"/>
  <c r="H24" i="3"/>
  <c r="I24" i="3"/>
  <c r="D16" i="3"/>
  <c r="D15" i="3"/>
  <c r="D12" i="3"/>
  <c r="B10" i="3"/>
  <c r="B9" i="3"/>
  <c r="I8" i="3"/>
  <c r="B8" i="3"/>
  <c r="I7" i="3"/>
  <c r="A5" i="3"/>
  <c r="A34" i="1"/>
  <c r="A33" i="1"/>
  <c r="A32" i="1"/>
  <c r="A31" i="1"/>
  <c r="A30" i="1"/>
  <c r="A29" i="1"/>
  <c r="H24" i="1"/>
  <c r="D16" i="1"/>
  <c r="D15" i="1"/>
  <c r="D12" i="1"/>
  <c r="B10" i="1"/>
  <c r="H7" i="1"/>
  <c r="A5" i="1"/>
  <c r="B9" i="1"/>
  <c r="B8" i="1"/>
  <c r="H8" i="1"/>
  <c r="C20" i="4"/>
  <c r="G26" i="4" l="1"/>
  <c r="H23" i="2"/>
  <c r="A25" i="2" a="1"/>
  <c r="A2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<sst xmlns="http://schemas.openxmlformats.org/spreadsheetml/2006/main" count="322" uniqueCount="184">
  <si>
    <t>SALES CONTRACT</t>
  </si>
  <si>
    <t xml:space="preserve">No. ERK0508024 </t>
  </si>
  <si>
    <r>
      <t xml:space="preserve">Date. </t>
    </r>
    <r>
      <rPr>
        <i/>
        <sz val="11"/>
        <color theme="1"/>
        <rFont val="Calibri"/>
        <family val="2"/>
        <scheme val="minor"/>
      </rPr>
      <t>05th AUG, 2024</t>
    </r>
  </si>
  <si>
    <t>Shiper/Seller</t>
  </si>
  <si>
    <t>Consignee/Buyer</t>
  </si>
  <si>
    <t>GUANGZHOU BIDA TRADING SERVICE CO.,LTD</t>
  </si>
  <si>
    <t>EUREKA TRADE AND IMPORT EXPORT COMPANY LIMITED</t>
  </si>
  <si>
    <t>Add: Room 902, Industrial Building 2, Tian 'An Science Park, No. 555 North Panyu Avenue, Panyu District, Guangzhou City, Guangdong Province, China</t>
  </si>
  <si>
    <t>Add: No. 3, Alley 56, An Son Lane, Dai La Street, Truong Dinh Ward, Hai Ba Trung District, Hanoi City, Vietnam</t>
  </si>
  <si>
    <r>
      <t xml:space="preserve">Tell/Fax: </t>
    </r>
    <r>
      <rPr>
        <i/>
        <sz val="11"/>
        <color rgb="FFFF0000"/>
        <rFont val="Calibri"/>
        <family val="2"/>
        <scheme val="minor"/>
      </rPr>
      <t>020-87350250</t>
    </r>
  </si>
  <si>
    <r>
      <t>Tell/Fax:</t>
    </r>
    <r>
      <rPr>
        <i/>
        <sz val="11"/>
        <color rgb="FFFF0000"/>
        <rFont val="Calibri"/>
        <family val="2"/>
        <scheme val="minor"/>
      </rPr>
      <t xml:space="preserve"> 089.858.6633</t>
    </r>
  </si>
  <si>
    <t>Email: 189619639@QQ.COM</t>
  </si>
  <si>
    <t>Email: tuvm@erktransport.com</t>
  </si>
  <si>
    <t>BANK INFORMATION</t>
  </si>
  <si>
    <t>Bank name: Development Bank of Singapore HONG KONG BRANCH</t>
  </si>
  <si>
    <t>Bank address: 11th Floor, The Center, 99 Queen's Road Central, Central, Hong Kong</t>
  </si>
  <si>
    <t>Account name: GUANGZHOU BIDA TRADING SERVICE CO.,LTD</t>
  </si>
  <si>
    <t>Account number: 79829000348</t>
  </si>
  <si>
    <r>
      <t>Swift code: DHBKHKHH (DHBKHKHHXXX</t>
    </r>
    <r>
      <rPr>
        <sz val="11"/>
        <color rgb="FF000000"/>
        <rFont val="MS Gothic"/>
        <family val="3"/>
      </rPr>
      <t>，</t>
    </r>
    <r>
      <rPr>
        <sz val="11"/>
        <color rgb="FF000000"/>
        <rFont val="Calibri"/>
        <family val="2"/>
        <scheme val="minor"/>
      </rPr>
      <t>If 11 characters are required)</t>
    </r>
  </si>
  <si>
    <t>Benneficiary address: ROOM 902, INDUSTRIAL BUILDING 2, TIAN 'AN SCIENCE PARK, NO. 555 NORTH PANYU AVENUE, PANYU DISTRICT, GUANGZHOU CITY, GUANGDONG PROVINCE, CHINA</t>
  </si>
  <si>
    <t>Time of shipment</t>
  </si>
  <si>
    <t>Destination</t>
  </si>
  <si>
    <t>Payment.</t>
  </si>
  <si>
    <t>100% T/T</t>
  </si>
  <si>
    <t>September, 2024</t>
  </si>
  <si>
    <t>From Nansha, China to Hai Phong, Viet Nam</t>
  </si>
  <si>
    <t>Term.</t>
  </si>
  <si>
    <t>FOB NANSHA</t>
  </si>
  <si>
    <t>I) DESCRIPTIONS OF GOODS:</t>
  </si>
  <si>
    <t>Orgin.</t>
  </si>
  <si>
    <t>Made in China</t>
  </si>
  <si>
    <t>No</t>
  </si>
  <si>
    <t>Product’s name</t>
  </si>
  <si>
    <t>Description</t>
  </si>
  <si>
    <t>Unit</t>
  </si>
  <si>
    <t>Quantity</t>
  </si>
  <si>
    <t>Unit price (USD)</t>
  </si>
  <si>
    <t>Total amount (USD)</t>
  </si>
  <si>
    <t>4-piece set children's outfit</t>
  </si>
  <si>
    <t>/</t>
  </si>
  <si>
    <t>SET</t>
  </si>
  <si>
    <t>Zuojueshi men's underwear</t>
  </si>
  <si>
    <t>AXD100089</t>
  </si>
  <si>
    <t>PCE</t>
  </si>
  <si>
    <t>0,5400</t>
  </si>
  <si>
    <t>Square pocket</t>
  </si>
  <si>
    <t>23*23CM</t>
  </si>
  <si>
    <t>0,4200</t>
  </si>
  <si>
    <t>Total:</t>
  </si>
  <si>
    <t>USD</t>
  </si>
  <si>
    <t>*Note: This sale contract is made by and between the Seller and the Buyer who are two independent, unrelated businesses without a special relationship with each other. The prices and quantities of goods are agreed upon by the two parties based on the normal negotiation.</t>
  </si>
  <si>
    <t>II) PAYMENT TERMS</t>
  </si>
  <si>
    <t>100% T/T total amount after B/L issueing</t>
  </si>
  <si>
    <t>III) PACKING</t>
  </si>
  <si>
    <t>Export standard packing</t>
  </si>
  <si>
    <t>IV) OTHER</t>
  </si>
  <si>
    <t>Part shipment</t>
  </si>
  <si>
    <t>: Allowed</t>
  </si>
  <si>
    <t>Transhipment</t>
  </si>
  <si>
    <t>V) FORCE MAJEURE</t>
  </si>
  <si>
    <t xml:space="preserve">The Sellers shall not be held responsible for non-delivery or late delivery of the goods due to accidents beyond their control. However, the Sellers shall deliver to the Buyers the documentary evidence(s) of force Majeure cause(s). </t>
  </si>
  <si>
    <t>VI) ARBITRATION</t>
  </si>
  <si>
    <t>All disputes in connection with this contract or its execution shall be settled by negotiation. In case no settlement can be reached, the case under dispute shall then be submitted to China International Economic and Trade Arbitration Commission in Beijing for arbitration in accordance with its Arbitration Rules. The decision shall be the final and binding upon both parties. The arbitration fees shall be borne by the losing party.</t>
  </si>
  <si>
    <r>
      <rPr>
        <b/>
        <sz val="11"/>
        <color theme="1"/>
        <rFont val="Calibri"/>
        <family val="2"/>
        <scheme val="minor"/>
      </rPr>
      <t>VII) DOCUMENTS</t>
    </r>
    <r>
      <rPr>
        <sz val="11"/>
        <color theme="1"/>
        <rFont val="Calibri"/>
        <family val="2"/>
        <scheme val="minor"/>
      </rPr>
      <t xml:space="preserve"> </t>
    </r>
  </si>
  <si>
    <t>This contract comes into effect from the signing date. Any changes and/ or amendments to this contract and the annex shall be in writing and subject to agreement by both parties.</t>
  </si>
  <si>
    <t>This contract shall be in English and the parties shall sign 02 copies. Each party shall have 01 copies. E-signing is acceptable.</t>
  </si>
  <si>
    <t>This contract can be sent by email.</t>
  </si>
  <si>
    <t>In addition, the seller will send the buyer the following documents:</t>
  </si>
  <si>
    <t>No.</t>
  </si>
  <si>
    <t>Name of Documents</t>
  </si>
  <si>
    <t>Type</t>
  </si>
  <si>
    <t>Note</t>
  </si>
  <si>
    <t>Comercial invoice</t>
  </si>
  <si>
    <t>original</t>
  </si>
  <si>
    <t>Packing list</t>
  </si>
  <si>
    <t>Certificate of origin</t>
  </si>
  <si>
    <t>If buyer required</t>
  </si>
  <si>
    <t>Certificate of Quality and Quantity</t>
  </si>
  <si>
    <t>BUYER</t>
  </si>
  <si>
    <t>SELLER</t>
  </si>
  <si>
    <t>EUREKA TRADE AND EX-IMPORT LTD</t>
  </si>
  <si>
    <t>Director</t>
  </si>
  <si>
    <t>Vu Minh Tu</t>
  </si>
  <si>
    <t>WANG HAOJUN</t>
  </si>
  <si>
    <t xml:space="preserve"> Room 902, industrial building 2, tian 'an science park, no. 555 north panyu avenue, panyu district, guangzhou city, guangdong province, china</t>
  </si>
  <si>
    <t>COMMERCIAL INVOICE</t>
  </si>
  <si>
    <t>Date.</t>
  </si>
  <si>
    <t>Payment term</t>
  </si>
  <si>
    <t>:</t>
  </si>
  <si>
    <t>Allowed</t>
  </si>
  <si>
    <t>Packing</t>
  </si>
  <si>
    <t>Origin</t>
  </si>
  <si>
    <t>Remarks</t>
  </si>
  <si>
    <t>BANK INFORMATION:</t>
  </si>
  <si>
    <t>PACKING LIST</t>
  </si>
  <si>
    <t>Packages</t>
  </si>
  <si>
    <t>G.W (Kgs)</t>
  </si>
  <si>
    <t>CBM</t>
  </si>
  <si>
    <t xml:space="preserve">ERK0508024 </t>
  </si>
  <si>
    <t>05th AUG, 2024</t>
  </si>
  <si>
    <t>Tell/Fax: 020-87350250</t>
  </si>
  <si>
    <t>No &amp; Date of contract.</t>
  </si>
  <si>
    <r>
      <t xml:space="preserve">Email: </t>
    </r>
    <r>
      <rPr>
        <u/>
        <sz val="11"/>
        <color theme="1"/>
        <rFont val="Calibri"/>
        <family val="2"/>
        <scheme val="minor"/>
      </rPr>
      <t>189619639@QQ.COM</t>
    </r>
  </si>
  <si>
    <t>FOB Hai Phong</t>
  </si>
  <si>
    <r>
      <t>Tell/Fax:</t>
    </r>
    <r>
      <rPr>
        <i/>
        <sz val="11"/>
        <color theme="1"/>
        <rFont val="Calibri"/>
        <family val="2"/>
        <scheme val="minor"/>
      </rPr>
      <t xml:space="preserve"> 089.858.6633</t>
    </r>
  </si>
  <si>
    <r>
      <t xml:space="preserve">Email: </t>
    </r>
    <r>
      <rPr>
        <u/>
        <sz val="11"/>
        <color theme="1"/>
        <rFont val="Calibri"/>
        <family val="2"/>
        <scheme val="minor"/>
      </rPr>
      <t>doc@erktransport.com</t>
    </r>
  </si>
  <si>
    <t>Notify party</t>
  </si>
  <si>
    <t>SAME AS CONSIGNEE</t>
  </si>
  <si>
    <t>Port of loading</t>
  </si>
  <si>
    <t>Final destination</t>
  </si>
  <si>
    <t>NANSHA, CHINA</t>
  </si>
  <si>
    <t>HAI PHONG, VIET NAM</t>
  </si>
  <si>
    <t>Estimate time delivery</t>
  </si>
  <si>
    <t>Estimate time arrival</t>
  </si>
  <si>
    <t>15th Aug, 2024</t>
  </si>
  <si>
    <t>17th Aug, 2024</t>
  </si>
  <si>
    <r>
      <t>Swift code: DHBKHKHH (DHBKHKHHXXX</t>
    </r>
    <r>
      <rPr>
        <sz val="9"/>
        <color theme="1"/>
        <rFont val="MS Gothic"/>
        <family val="3"/>
      </rPr>
      <t>，</t>
    </r>
    <r>
      <rPr>
        <sz val="9"/>
        <color theme="1"/>
        <rFont val="Calibri"/>
        <family val="2"/>
        <scheme val="minor"/>
      </rPr>
      <t>If 11 characters are required)</t>
    </r>
  </si>
  <si>
    <t>Benneficiary address: Room 902, Industrial Building 2, Tian 'An Science Park, No. 555 North Panyu Avenue, Panyu District, Guangzhou City, Guangdong Province, China</t>
  </si>
  <si>
    <t>产品说明</t>
  </si>
  <si>
    <t>（1）品名:打气筒（商品编码： 84142000 )</t>
  </si>
  <si>
    <t>（2）品牌: DECATHLON  中文:迪卡侬; 境外品牌（贴牌生产）</t>
  </si>
  <si>
    <r>
      <t>（3）型号：</t>
    </r>
    <r>
      <rPr>
        <sz val="12"/>
        <rFont val="Arial Unicode MS"/>
        <family val="2"/>
      </rPr>
      <t>PHP-100</t>
    </r>
  </si>
  <si>
    <t xml:space="preserve"> ( 4 ) 是否手动或脚踏：手动</t>
  </si>
  <si>
    <t>出口货物在最终目的国（地区）不确定享受优惠关税</t>
  </si>
  <si>
    <t>昆山十全塑膠五金產品有限公司</t>
  </si>
  <si>
    <t>中华人民共和国海关出口货物报关单</t>
  </si>
  <si>
    <t>境内发货人</t>
  </si>
  <si>
    <t>出境关别</t>
  </si>
  <si>
    <t>出口日期</t>
  </si>
  <si>
    <t>申报日期</t>
  </si>
  <si>
    <t xml:space="preserve">备案号                                                   </t>
  </si>
  <si>
    <t>91320583792309777W</t>
  </si>
  <si>
    <t> </t>
  </si>
  <si>
    <t>境外收货人</t>
  </si>
  <si>
    <t xml:space="preserve">运输方式                                             </t>
  </si>
  <si>
    <t>运输工具名称及航次号</t>
  </si>
  <si>
    <t xml:space="preserve">提运单号                                                                   </t>
  </si>
  <si>
    <t>BETO ENGINEERING AND MARKETING CO., LTD.</t>
  </si>
  <si>
    <t>江海运输</t>
  </si>
  <si>
    <t xml:space="preserve">生产销售单位                                        </t>
  </si>
  <si>
    <t>监管方式</t>
  </si>
  <si>
    <t>征免性质</t>
  </si>
  <si>
    <t>许可证号</t>
  </si>
  <si>
    <t>FULL MARK (KUNSHAN)CO.,LTD</t>
  </si>
  <si>
    <t>一般贸易</t>
  </si>
  <si>
    <t>一般征税</t>
  </si>
  <si>
    <t xml:space="preserve">合同协议号                                           </t>
  </si>
  <si>
    <t>贸易国（地区）</t>
  </si>
  <si>
    <t>运抵国（地区）</t>
  </si>
  <si>
    <t>指运港</t>
  </si>
  <si>
    <t>离境口岸</t>
  </si>
  <si>
    <t>中国台湾</t>
  </si>
  <si>
    <t>越南</t>
  </si>
  <si>
    <r>
      <t>包装种类</t>
    </r>
    <r>
      <rPr>
        <b/>
        <sz val="11"/>
        <color rgb="FF000000"/>
        <rFont val="新細明體"/>
        <family val="1"/>
        <charset val="136"/>
      </rPr>
      <t xml:space="preserve">  </t>
    </r>
    <r>
      <rPr>
        <sz val="11"/>
        <color rgb="FF000000"/>
        <rFont val="新細明體"/>
        <family val="1"/>
        <charset val="136"/>
      </rPr>
      <t xml:space="preserve">                                      </t>
    </r>
  </si>
  <si>
    <t>件数</t>
  </si>
  <si>
    <t>毛重（千克）</t>
  </si>
  <si>
    <t>净重(千克)</t>
  </si>
  <si>
    <t>成交方式</t>
  </si>
  <si>
    <t xml:space="preserve">运费                              </t>
  </si>
  <si>
    <t xml:space="preserve">保费                           </t>
  </si>
  <si>
    <t xml:space="preserve">杂费                                  </t>
  </si>
  <si>
    <t>纸箱(22)</t>
  </si>
  <si>
    <t>FOB</t>
  </si>
  <si>
    <t xml:space="preserve">随附单证及编号                                                                                                                                                                                                                            </t>
  </si>
  <si>
    <t xml:space="preserve">标记唛码及备注
                                                                                                                                                                                                                                         </t>
  </si>
  <si>
    <t xml:space="preserve"> 项号</t>
  </si>
  <si>
    <t>商品编号</t>
  </si>
  <si>
    <t xml:space="preserve"> 商品名称及规格型号</t>
  </si>
  <si>
    <t>数量及单位</t>
  </si>
  <si>
    <t>单价</t>
  </si>
  <si>
    <t>总价</t>
  </si>
  <si>
    <t>币别</t>
  </si>
  <si>
    <t>原产国
（地区）</t>
  </si>
  <si>
    <t>最终目的国
（地区）</t>
  </si>
  <si>
    <t>境内货源地</t>
  </si>
  <si>
    <t>征免</t>
  </si>
  <si>
    <t>PUMP PHP-100</t>
  </si>
  <si>
    <t>台</t>
  </si>
  <si>
    <t>CHINA</t>
  </si>
  <si>
    <t>KUNSHAN</t>
  </si>
  <si>
    <t>特殊关系确认：无                     价格影响确认：无                      支付特许权使用费确认：无                      自报自缴：</t>
  </si>
  <si>
    <t>报关人员       报关人员证号    电话       兹申明对以上内容承担如实申报、依法纳税之法律责任</t>
  </si>
  <si>
    <t xml:space="preserve">海关批注及签章    
                                       </t>
  </si>
  <si>
    <r>
      <t>申</t>
    </r>
    <r>
      <rPr>
        <sz val="11"/>
        <rFont val="宋体"/>
        <charset val="134"/>
      </rPr>
      <t>报单</t>
    </r>
    <r>
      <rPr>
        <sz val="11"/>
        <rFont val="新細明體"/>
        <family val="1"/>
        <charset val="136"/>
      </rPr>
      <t>位:                                                                              申</t>
    </r>
    <r>
      <rPr>
        <sz val="11"/>
        <rFont val="宋体"/>
        <charset val="134"/>
      </rPr>
      <t>报单</t>
    </r>
    <r>
      <rPr>
        <sz val="11"/>
        <rFont val="新細明體"/>
        <family val="1"/>
        <charset val="136"/>
      </rPr>
      <t>位（</t>
    </r>
    <r>
      <rPr>
        <sz val="11"/>
        <rFont val="宋体"/>
        <charset val="134"/>
      </rPr>
      <t>签</t>
    </r>
    <r>
      <rPr>
        <sz val="11"/>
        <rFont val="新細明體"/>
        <family val="1"/>
        <charset val="136"/>
      </rPr>
      <t>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</si>
</sst>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b/>
      <sz val="11"/>
      <color theme="1"/>
      <name val="Calibri"/>
      <family val="2"/>
      <scheme val="minor"/>
    </font>
    <font>
      <sz val="36"/>
      <color theme="1"/>
      <name val="Calibri"/>
      <family val="2"/>
      <scheme val="minor"/>
    </font>
    <font>
      <u/>
      <sz val="11"/>
      <color theme="1"/>
      <name val="Calibri"/>
      <family val="2"/>
      <scheme val="minor"/>
    </font>
    <font>
      <i/>
      <sz val="11"/>
      <color theme="1"/>
      <name val="Calibri"/>
      <family val="2"/>
      <scheme val="minor"/>
    </font>
    <font>
      <sz val="11"/>
      <color rgb="FF000000"/>
      <name val="Calibri"/>
      <family val="2"/>
      <scheme val="minor"/>
    </font>
    <font>
      <b/>
      <sz val="11"/>
      <color rgb="FF000000"/>
      <name val="Calibri"/>
      <family val="2"/>
      <scheme val="minor"/>
    </font>
    <font>
      <b/>
      <sz val="9"/>
      <color theme="1"/>
      <name val="Calibri"/>
      <family val="2"/>
      <scheme val="minor"/>
    </font>
    <font>
      <sz val="9"/>
      <color theme="1"/>
      <name val="Calibri"/>
      <family val="2"/>
      <scheme val="minor"/>
    </font>
    <font>
      <sz val="9"/>
      <color theme="1"/>
      <name val="MS Gothic"/>
      <family val="3"/>
    </font>
    <font>
      <b/>
      <i/>
      <sz val="11"/>
      <color theme="1"/>
      <name val="Calibri"/>
      <family val="2"/>
      <scheme val="minor"/>
    </font>
    <font>
      <b/>
      <sz val="20"/>
      <color theme="1"/>
      <name val="Calibri"/>
      <family val="2"/>
      <scheme val="minor"/>
    </font>
    <font>
      <b/>
      <u/>
      <sz val="20"/>
      <color theme="1"/>
      <name val="Calibri"/>
      <family val="2"/>
      <scheme val="minor"/>
    </font>
    <font>
      <b/>
      <u/>
      <sz val="11"/>
      <color theme="1"/>
      <name val="Calibri"/>
      <family val="2"/>
      <scheme val="minor"/>
    </font>
    <font>
      <sz val="11"/>
      <color rgb="FFFF0000"/>
      <name val="Calibri"/>
      <family val="2"/>
      <scheme val="minor"/>
    </font>
    <font>
      <b/>
      <sz val="9"/>
      <color rgb="FFFF0000"/>
      <name val="Calibri"/>
      <family val="2"/>
      <scheme val="minor"/>
    </font>
    <font>
      <sz val="9"/>
      <color rgb="FFFF0000"/>
      <name val="Calibri"/>
      <family val="2"/>
      <scheme val="minor"/>
    </font>
    <font>
      <b/>
      <sz val="36"/>
      <color theme="1"/>
      <name val="Calibri"/>
      <family val="2"/>
      <scheme val="minor"/>
    </font>
    <font>
      <i/>
      <sz val="11"/>
      <color rgb="FFFF0000"/>
      <name val="Calibri"/>
      <family val="2"/>
      <scheme val="minor"/>
    </font>
    <font>
      <sz val="11"/>
      <color rgb="FF000000"/>
      <name val="MS Gothic"/>
      <family val="3"/>
    </font>
    <font>
      <b/>
      <u/>
      <sz val="11"/>
      <color rgb="FF000000"/>
      <name val="Calibri"/>
      <family val="2"/>
      <scheme val="minor"/>
    </font>
    <font>
      <b/>
      <u/>
      <sz val="11"/>
      <color rgb="FFFF0000"/>
      <name val="Calibri"/>
      <family val="2"/>
      <scheme val="minor"/>
    </font>
    <font>
      <b/>
      <i/>
      <sz val="11"/>
      <color rgb="FFFF0000"/>
      <name val="Calibri"/>
      <family val="2"/>
      <scheme val="minor"/>
    </font>
    <font>
      <sz val="12"/>
      <name val="Calibri"/>
      <family val="2"/>
    </font>
    <font>
      <b/>
      <sz val="20"/>
      <name val="Arial Unicode MS"/>
      <family val="2"/>
    </font>
    <font>
      <sz val="12"/>
      <color rgb="FF000000"/>
      <name val="Calibri"/>
      <family val="2"/>
    </font>
    <font>
      <sz val="10"/>
      <name val="Arial Unicode MS"/>
      <family val="2"/>
    </font>
    <font>
      <sz val="11"/>
      <name val="Arial Unicode MS"/>
      <family val="2"/>
    </font>
    <font>
      <sz val="12"/>
      <name val="Arial Unicode MS"/>
      <family val="2"/>
    </font>
    <font>
      <u/>
      <sz val="11"/>
      <name val="宋体"/>
      <charset val="134"/>
    </font>
    <font>
      <u/>
      <sz val="11"/>
      <name val="Arial Unicode MS"/>
      <family val="2"/>
    </font>
    <font>
      <sz val="14"/>
      <name val="Arial Unicode MS"/>
      <family val="2"/>
    </font>
    <font>
      <sz val="16"/>
      <name val="Arial Unicode MS"/>
      <family val="2"/>
    </font>
    <font>
      <b/>
      <sz val="16"/>
      <color rgb="FF000000"/>
      <name val="Calibri"/>
      <family val="2"/>
    </font>
    <font>
      <sz val="11"/>
      <color rgb="FF000000"/>
      <name val="Calibri"/>
      <family val="2"/>
    </font>
    <font>
      <sz val="11"/>
      <color rgb="FF000000"/>
      <name val="新細明體"/>
      <family val="1"/>
      <charset val="136"/>
    </font>
    <font>
      <sz val="11"/>
      <color rgb="FF000000"/>
      <name val="宋体"/>
      <charset val="134"/>
    </font>
    <font>
      <sz val="11"/>
      <name val="Calibri"/>
      <family val="2"/>
    </font>
    <font>
      <sz val="9"/>
      <color rgb="FF000000"/>
      <name val="微软雅黑"/>
      <family val="2"/>
      <charset val="134"/>
    </font>
    <font>
      <b/>
      <sz val="11"/>
      <color rgb="FF000000"/>
      <name val="Calibri"/>
      <family val="2"/>
    </font>
    <font>
      <b/>
      <sz val="11"/>
      <color rgb="FF000000"/>
      <name val="新細明體"/>
      <family val="1"/>
      <charset val="136"/>
    </font>
    <font>
      <sz val="10"/>
      <color rgb="FF000000"/>
      <name val="Calibri"/>
      <family val="2"/>
    </font>
    <font>
      <sz val="11"/>
      <name val="宋体"/>
      <charset val="134"/>
    </font>
    <font>
      <sz val="11"/>
      <name val="新細明體"/>
      <family val="1"/>
      <charset val="136"/>
    </font>
  </fonts>
  <fills count="3">
    <fill>
      <patternFill patternType="none"/>
    </fill>
    <fill>
      <patternFill patternType="gray125"/>
    </fill>
    <fill>
      <patternFill patternType="solid">
        <fgColor rgb="FFFFFFFF"/>
        <bgColor rgb="FF000000"/>
      </patternFill>
    </fill>
  </fills>
  <borders count="3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bottom style="slantDashDot">
        <color auto="1"/>
      </bottom>
      <diagonal/>
    </border>
    <border>
      <left/>
      <right/>
      <top style="double">
        <color indexed="64"/>
      </top>
      <bottom style="double">
        <color indexed="64"/>
      </bottom>
      <diagonal/>
    </border>
    <border>
      <left/>
      <right/>
      <top/>
      <bottom style="double">
        <color indexed="64"/>
      </bottom>
      <diagonal/>
    </border>
    <border>
      <left/>
      <right/>
      <top style="slantDashDot">
        <color auto="1"/>
      </top>
      <bottom/>
      <diagonal/>
    </border>
    <border>
      <left style="thin">
        <color indexed="64"/>
      </left>
      <right/>
      <top style="slantDashDot">
        <color indexed="64"/>
      </top>
      <bottom/>
      <diagonal/>
    </border>
    <border>
      <left/>
      <right/>
      <top style="double">
        <color indexed="64"/>
      </top>
      <bottom/>
      <diagonal/>
    </border>
    <border>
      <left/>
      <right style="medium">
        <color rgb="FF000000"/>
      </right>
      <top/>
      <bottom style="medium">
        <color rgb="FF000000"/>
      </bottom>
      <diagonal/>
    </border>
    <border>
      <left style="thin">
        <color auto="1"/>
      </left>
      <right/>
      <top/>
      <bottom style="double">
        <color indexed="64"/>
      </bottom>
      <diagonal/>
    </border>
    <border>
      <left style="thin">
        <color indexed="64"/>
      </left>
      <right/>
      <top style="double">
        <color indexed="64"/>
      </top>
      <bottom/>
      <diagonal/>
    </border>
    <border>
      <left style="double">
        <color auto="1"/>
      </left>
      <right/>
      <top style="dashed">
        <color auto="1"/>
      </top>
      <bottom style="dashed">
        <color auto="1"/>
      </bottom>
      <diagonal/>
    </border>
    <border>
      <left/>
      <right/>
      <top style="dashed">
        <color auto="1"/>
      </top>
      <bottom style="dashed">
        <color auto="1"/>
      </bottom>
      <diagonal/>
    </border>
    <border>
      <left/>
      <right style="double">
        <color auto="1"/>
      </right>
      <top style="dashed">
        <color auto="1"/>
      </top>
      <bottom style="dashed">
        <color auto="1"/>
      </bottom>
      <diagonal/>
    </border>
    <border>
      <left style="double">
        <color auto="1"/>
      </left>
      <right/>
      <top style="dashed">
        <color auto="1"/>
      </top>
      <bottom style="double">
        <color auto="1"/>
      </bottom>
      <diagonal/>
    </border>
    <border>
      <left/>
      <right/>
      <top style="dashed">
        <color auto="1"/>
      </top>
      <bottom style="double">
        <color auto="1"/>
      </bottom>
      <diagonal/>
    </border>
    <border>
      <left/>
      <right style="double">
        <color auto="1"/>
      </right>
      <top style="dashed">
        <color auto="1"/>
      </top>
      <bottom style="double">
        <color auto="1"/>
      </bottom>
      <diagonal/>
    </border>
    <border>
      <left style="double">
        <color auto="1"/>
      </left>
      <right/>
      <top/>
      <bottom style="dashed">
        <color auto="1"/>
      </bottom>
      <diagonal/>
    </border>
    <border>
      <left/>
      <right/>
      <top/>
      <bottom style="dashed">
        <color auto="1"/>
      </bottom>
      <diagonal/>
    </border>
    <border>
      <left/>
      <right style="double">
        <color auto="1"/>
      </right>
      <top/>
      <bottom style="dashed">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right style="thin">
        <color rgb="FF000000"/>
      </right>
      <top style="thin">
        <color indexed="64"/>
      </top>
      <bottom/>
      <diagonal/>
    </border>
    <border>
      <left/>
      <right style="thin">
        <color rgb="FF000000"/>
      </right>
      <top/>
      <bottom style="thin">
        <color indexed="64"/>
      </bottom>
      <diagonal/>
    </border>
    <border>
      <left/>
      <right style="thin">
        <color rgb="FF000000"/>
      </right>
      <top/>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3">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 fillId="0" borderId="0" xfId="0" applyFont="1" applyAlignment="1">
      <alignment horizontal="right"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3"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3" fontId="5" fillId="0" borderId="2" xfId="0" applyNumberFormat="1" applyFont="1" applyBorder="1" applyAlignment="1">
      <alignment horizontal="center" vertical="center" wrapText="1"/>
    </xf>
    <xf numFmtId="0" fontId="1" fillId="0" borderId="3" xfId="0" applyFont="1" applyBorder="1" applyAlignment="1">
      <alignment vertical="center" wrapText="1"/>
    </xf>
    <xf numFmtId="0" fontId="1" fillId="0" borderId="1" xfId="0" applyFont="1" applyBorder="1" applyAlignment="1">
      <alignment vertical="center" wrapText="1"/>
    </xf>
    <xf numFmtId="0" fontId="1" fillId="0" borderId="8" xfId="0" applyFont="1" applyBorder="1" applyAlignment="1">
      <alignment vertical="center" wrapText="1"/>
    </xf>
    <xf numFmtId="0" fontId="1" fillId="0" borderId="7" xfId="0" applyFont="1" applyBorder="1" applyAlignment="1">
      <alignment vertical="center"/>
    </xf>
    <xf numFmtId="0" fontId="1" fillId="0" borderId="3" xfId="0" applyFont="1" applyBorder="1" applyAlignment="1">
      <alignment vertical="center"/>
    </xf>
    <xf numFmtId="0" fontId="1" fillId="0" borderId="9" xfId="0" applyFont="1" applyBorder="1" applyAlignment="1">
      <alignment vertical="center" wrapText="1"/>
    </xf>
    <xf numFmtId="0" fontId="1" fillId="0" borderId="4" xfId="0" applyFont="1" applyBorder="1" applyAlignment="1">
      <alignment vertical="center"/>
    </xf>
    <xf numFmtId="0" fontId="1" fillId="0" borderId="1" xfId="0" applyFont="1" applyBorder="1" applyAlignment="1">
      <alignment vertical="center"/>
    </xf>
    <xf numFmtId="0" fontId="1" fillId="0" borderId="6" xfId="0" applyFont="1" applyBorder="1" applyAlignment="1">
      <alignment vertical="center"/>
    </xf>
    <xf numFmtId="0" fontId="1" fillId="0" borderId="5" xfId="0" applyFont="1" applyBorder="1" applyAlignment="1">
      <alignment vertical="center"/>
    </xf>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1" fillId="0" borderId="0" xfId="0" applyFont="1"/>
    <xf numFmtId="0" fontId="10" fillId="0" borderId="0" xfId="0" applyFont="1"/>
    <xf numFmtId="0" fontId="10" fillId="0" borderId="0" xfId="0" applyFont="1" applyAlignment="1">
      <alignment vertical="center"/>
    </xf>
    <xf numFmtId="0" fontId="2" fillId="0" borderId="0" xfId="0" applyFont="1" applyAlignment="1">
      <alignment vertical="center" wrapText="1"/>
    </xf>
    <xf numFmtId="0" fontId="11" fillId="0" borderId="0" xfId="0" applyFont="1"/>
    <xf numFmtId="0" fontId="0" fillId="0" borderId="10" xfId="0" applyBorder="1"/>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vertical="center"/>
    </xf>
    <xf numFmtId="0" fontId="1"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0" fillId="0" borderId="12" xfId="0" applyBorder="1"/>
    <xf numFmtId="0" fontId="1" fillId="0" borderId="14" xfId="0" applyFont="1" applyBorder="1" applyAlignment="1">
      <alignment vertical="center" wrapText="1"/>
    </xf>
    <xf numFmtId="0" fontId="0" fillId="0" borderId="13" xfId="0" applyBorder="1" applyAlignment="1">
      <alignment vertical="center"/>
    </xf>
    <xf numFmtId="0" fontId="13" fillId="0" borderId="3" xfId="0" applyFont="1" applyBorder="1" applyAlignment="1">
      <alignment vertical="center" wrapText="1"/>
    </xf>
    <xf numFmtId="0" fontId="0" fillId="0" borderId="1" xfId="0" applyBorder="1" applyAlignment="1">
      <alignment vertical="center" wrapText="1"/>
    </xf>
    <xf numFmtId="0" fontId="0" fillId="0" borderId="4" xfId="0" applyBorder="1"/>
    <xf numFmtId="0" fontId="0" fillId="0" borderId="6" xfId="0" applyBorder="1"/>
    <xf numFmtId="0" fontId="13" fillId="0" borderId="3" xfId="0" applyFont="1" applyBorder="1" applyAlignment="1">
      <alignment vertical="center"/>
    </xf>
    <xf numFmtId="0" fontId="13" fillId="0" borderId="5" xfId="0" applyFont="1" applyBorder="1" applyAlignment="1">
      <alignment vertical="center"/>
    </xf>
    <xf numFmtId="0" fontId="0" fillId="0" borderId="8" xfId="0" applyBorder="1" applyAlignment="1">
      <alignment vertical="center"/>
    </xf>
    <xf numFmtId="0" fontId="6" fillId="0" borderId="0" xfId="0" applyFont="1" applyAlignment="1">
      <alignment vertical="center" wrapText="1"/>
    </xf>
    <xf numFmtId="0" fontId="6" fillId="0" borderId="3" xfId="0" applyFont="1" applyBorder="1" applyAlignment="1">
      <alignment vertical="center" wrapText="1"/>
    </xf>
    <xf numFmtId="0" fontId="1" fillId="0" borderId="15" xfId="0" applyFont="1" applyBorder="1" applyAlignment="1">
      <alignment horizontal="center" vertical="center" wrapText="1"/>
    </xf>
    <xf numFmtId="0" fontId="6" fillId="0" borderId="15" xfId="0" applyFont="1" applyBorder="1" applyAlignment="1">
      <alignment horizontal="center" vertical="center" wrapText="1"/>
    </xf>
    <xf numFmtId="3" fontId="5"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vertical="center"/>
    </xf>
    <xf numFmtId="3" fontId="5" fillId="0" borderId="0" xfId="0" applyNumberFormat="1" applyFont="1" applyAlignment="1">
      <alignment vertical="center" wrapText="1"/>
    </xf>
    <xf numFmtId="0" fontId="5" fillId="0" borderId="0" xfId="0" applyFont="1" applyAlignment="1">
      <alignment vertical="center" wrapText="1"/>
    </xf>
    <xf numFmtId="0" fontId="1" fillId="0" borderId="0" xfId="0" applyFont="1" applyAlignment="1">
      <alignment horizontal="center" vertical="center"/>
    </xf>
    <xf numFmtId="0" fontId="1" fillId="0" borderId="15" xfId="0" applyFont="1" applyBorder="1" applyAlignment="1">
      <alignment horizontal="right" vertical="center"/>
    </xf>
    <xf numFmtId="0" fontId="0" fillId="0" borderId="15" xfId="0" applyBorder="1"/>
    <xf numFmtId="0" fontId="1" fillId="0" borderId="15" xfId="0" applyFont="1" applyBorder="1" applyAlignment="1">
      <alignment horizontal="center" vertical="center"/>
    </xf>
    <xf numFmtId="0" fontId="1" fillId="0" borderId="11" xfId="0" applyFont="1" applyBorder="1" applyAlignment="1">
      <alignment vertical="center" wrapText="1"/>
    </xf>
    <xf numFmtId="0" fontId="1" fillId="0" borderId="0" xfId="0" applyFont="1" applyAlignment="1">
      <alignment horizontal="right" vertical="center" wrapText="1"/>
    </xf>
    <xf numFmtId="0" fontId="14" fillId="0" borderId="0" xfId="0" applyFont="1" applyAlignment="1">
      <alignment vertical="center"/>
    </xf>
    <xf numFmtId="0" fontId="14" fillId="0" borderId="0" xfId="0" applyFont="1" applyAlignment="1">
      <alignment horizontal="left" vertical="center"/>
    </xf>
    <xf numFmtId="0" fontId="15" fillId="0" borderId="0" xfId="0" applyFont="1" applyAlignment="1">
      <alignment vertical="center"/>
    </xf>
    <xf numFmtId="0" fontId="14" fillId="0" borderId="0" xfId="0" applyFont="1"/>
    <xf numFmtId="0" fontId="16" fillId="0" borderId="0" xfId="0" applyFont="1" applyAlignment="1">
      <alignment vertical="center"/>
    </xf>
    <xf numFmtId="0" fontId="1" fillId="0" borderId="0" xfId="0" applyFont="1" applyAlignment="1">
      <alignment horizontal="right"/>
    </xf>
    <xf numFmtId="0" fontId="14" fillId="0" borderId="1" xfId="0" applyFont="1" applyBorder="1" applyAlignment="1">
      <alignment horizontal="center" vertical="center" wrapText="1"/>
    </xf>
    <xf numFmtId="0" fontId="0" fillId="0" borderId="9" xfId="0" applyBorder="1"/>
    <xf numFmtId="0" fontId="14" fillId="0" borderId="0" xfId="0" applyFont="1" applyAlignment="1">
      <alignment vertical="center" wrapText="1"/>
    </xf>
    <xf numFmtId="0" fontId="14" fillId="0" borderId="1" xfId="0" applyFont="1" applyBorder="1" applyAlignment="1">
      <alignment vertical="center" wrapText="1"/>
    </xf>
    <xf numFmtId="0" fontId="14" fillId="0" borderId="1" xfId="0" applyFont="1" applyBorder="1" applyAlignment="1">
      <alignment vertical="center"/>
    </xf>
    <xf numFmtId="0" fontId="0" fillId="0" borderId="0" xfId="0" applyAlignment="1">
      <alignment horizontal="left" vertical="top" wrapText="1"/>
    </xf>
    <xf numFmtId="0" fontId="13" fillId="0" borderId="0" xfId="0" applyFont="1" applyAlignment="1">
      <alignment vertical="center" wrapText="1"/>
    </xf>
    <xf numFmtId="0" fontId="13" fillId="0" borderId="9" xfId="0" applyFont="1" applyBorder="1" applyAlignment="1">
      <alignment vertical="center"/>
    </xf>
    <xf numFmtId="0" fontId="0" fillId="0" borderId="9" xfId="0" applyBorder="1" applyAlignment="1">
      <alignment vertical="center"/>
    </xf>
    <xf numFmtId="0" fontId="14" fillId="0" borderId="9" xfId="0" applyFont="1" applyBorder="1" applyAlignment="1">
      <alignment vertical="center"/>
    </xf>
    <xf numFmtId="0" fontId="20" fillId="0" borderId="0" xfId="0" applyFont="1"/>
    <xf numFmtId="0" fontId="5" fillId="0" borderId="0" xfId="0" applyFont="1" applyAlignment="1">
      <alignment vertical="center"/>
    </xf>
    <xf numFmtId="0" fontId="6" fillId="0" borderId="0" xfId="0" applyFont="1" applyAlignment="1">
      <alignment vertical="center"/>
    </xf>
    <xf numFmtId="0" fontId="21" fillId="0" borderId="0" xfId="0" applyFont="1" applyAlignment="1">
      <alignment vertical="center"/>
    </xf>
    <xf numFmtId="17" fontId="14" fillId="0" borderId="0" xfId="0" quotePrefix="1" applyNumberFormat="1" applyFont="1" applyAlignment="1">
      <alignment vertical="center"/>
    </xf>
    <xf numFmtId="0" fontId="5" fillId="0" borderId="17" xfId="0" applyFont="1" applyBorder="1" applyAlignment="1">
      <alignment vertical="center" wrapText="1"/>
    </xf>
    <xf numFmtId="0" fontId="5" fillId="0" borderId="12" xfId="0" applyFont="1" applyBorder="1" applyAlignment="1">
      <alignment vertical="center" wrapText="1"/>
    </xf>
    <xf numFmtId="0" fontId="0" fillId="0" borderId="2" xfId="0" applyBorder="1" applyAlignment="1">
      <alignment vertical="center" wrapText="1"/>
    </xf>
    <xf numFmtId="0" fontId="10" fillId="0" borderId="0" xfId="0" applyFont="1" applyAlignment="1">
      <alignment horizontal="left" vertical="center"/>
    </xf>
    <xf numFmtId="0" fontId="6" fillId="0" borderId="0" xfId="0" applyFont="1"/>
    <xf numFmtId="0" fontId="6" fillId="0" borderId="0" xfId="0" applyFont="1" applyAlignment="1">
      <alignment horizontal="center" vertical="center"/>
    </xf>
    <xf numFmtId="0" fontId="6" fillId="0" borderId="0" xfId="0" applyFont="1" applyAlignment="1">
      <alignment vertical="top" wrapText="1"/>
    </xf>
    <xf numFmtId="0" fontId="6" fillId="0" borderId="0" xfId="0" applyFont="1" applyAlignment="1">
      <alignment horizontal="center" vertical="top"/>
    </xf>
    <xf numFmtId="0" fontId="1" fillId="0" borderId="15" xfId="0" applyFont="1" applyBorder="1" applyAlignment="1">
      <alignment horizontal="left" vertical="center"/>
    </xf>
    <xf numFmtId="0" fontId="1" fillId="0" borderId="15" xfId="0" applyFont="1" applyBorder="1" applyAlignment="1">
      <alignment horizontal="right"/>
    </xf>
    <xf numFmtId="0" fontId="1" fillId="0" borderId="15" xfId="0" applyFont="1" applyBorder="1"/>
    <xf numFmtId="0" fontId="14" fillId="0" borderId="28" xfId="0" applyFont="1" applyBorder="1" applyAlignment="1">
      <alignment horizontal="center"/>
    </xf>
    <xf numFmtId="0" fontId="14" fillId="0" borderId="29" xfId="0" applyFont="1" applyBorder="1" applyAlignment="1">
      <alignment horizontal="center"/>
    </xf>
    <xf numFmtId="0" fontId="14" fillId="0" borderId="30" xfId="0" applyFont="1" applyBorder="1" applyAlignment="1">
      <alignment horizont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22" fillId="0" borderId="0" xfId="0" applyFont="1" applyAlignment="1">
      <alignment horizontal="right" vertical="center"/>
    </xf>
    <xf numFmtId="0" fontId="22" fillId="0" borderId="0" xfId="0" applyFont="1" applyAlignment="1">
      <alignment vertical="center" wrapText="1"/>
    </xf>
    <xf numFmtId="0" fontId="13" fillId="0" borderId="18" xfId="0" applyFont="1" applyBorder="1" applyAlignment="1">
      <alignment horizontal="left" vertical="center" wrapText="1"/>
    </xf>
    <xf numFmtId="0" fontId="13" fillId="0" borderId="9" xfId="0" applyFont="1" applyBorder="1" applyAlignment="1">
      <alignment horizontal="left" vertical="center" wrapText="1"/>
    </xf>
    <xf numFmtId="0" fontId="21" fillId="0" borderId="18" xfId="0" applyFont="1" applyBorder="1" applyAlignment="1">
      <alignment vertical="center"/>
    </xf>
    <xf numFmtId="0" fontId="4" fillId="0" borderId="0" xfId="0" applyFont="1" applyAlignment="1">
      <alignment horizontal="left" vertical="center"/>
    </xf>
    <xf numFmtId="4" fontId="5" fillId="0" borderId="1" xfId="0" applyNumberFormat="1" applyFont="1" applyBorder="1" applyAlignment="1">
      <alignment horizontal="center" vertical="center" wrapText="1"/>
    </xf>
    <xf numFmtId="4" fontId="5" fillId="0" borderId="2" xfId="0" applyNumberFormat="1" applyFont="1" applyBorder="1" applyAlignment="1">
      <alignment horizontal="center" vertical="center" wrapText="1"/>
    </xf>
    <xf numFmtId="4" fontId="6" fillId="0" borderId="0" xfId="0" applyNumberFormat="1" applyFont="1" applyAlignment="1">
      <alignment horizontal="center" vertical="center" wrapText="1"/>
    </xf>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4" fillId="0" borderId="7" xfId="0" applyFont="1" applyBorder="1" applyAlignment="1">
      <alignment wrapText="1"/>
    </xf>
    <xf numFmtId="0" fontId="34" fillId="0" borderId="9" xfId="0" applyFont="1" applyBorder="1" applyAlignment="1">
      <alignment wrapText="1"/>
    </xf>
    <xf numFmtId="0" fontId="34" fillId="0" borderId="8" xfId="0" applyFont="1" applyBorder="1" applyAlignment="1">
      <alignment wrapText="1"/>
    </xf>
    <xf numFmtId="0" fontId="38" fillId="2" borderId="35" xfId="0" applyFont="1" applyFill="1" applyBorder="1"/>
    <xf numFmtId="0" fontId="34" fillId="0" borderId="5" xfId="0" applyFont="1" applyBorder="1" applyAlignment="1">
      <alignment wrapText="1"/>
    </xf>
    <xf numFmtId="0" fontId="34" fillId="0" borderId="6" xfId="0" applyFont="1" applyBorder="1" applyAlignment="1">
      <alignment wrapText="1"/>
    </xf>
    <xf numFmtId="0" fontId="34" fillId="0" borderId="35" xfId="0" applyFont="1" applyBorder="1" applyAlignment="1">
      <alignment wrapText="1"/>
    </xf>
    <xf numFmtId="0" fontId="34" fillId="0" borderId="37" xfId="0" applyFont="1" applyBorder="1" applyAlignment="1">
      <alignment wrapText="1"/>
    </xf>
    <xf numFmtId="0" fontId="41" fillId="0" borderId="6" xfId="0" applyFont="1" applyBorder="1" applyAlignment="1">
      <alignment wrapText="1"/>
    </xf>
    <xf numFmtId="0" fontId="34" fillId="2" borderId="6" xfId="0" applyFont="1" applyFill="1" applyBorder="1" applyAlignment="1">
      <alignment wrapText="1"/>
    </xf>
    <xf numFmtId="0" fontId="43" fillId="0" borderId="1" xfId="0" applyFont="1" applyBorder="1"/>
    <xf numFmtId="0" fontId="43" fillId="0" borderId="0" xfId="0" applyFont="1"/>
    <xf numFmtId="0" fontId="43" fillId="0" borderId="6" xfId="0" applyFont="1" applyBorder="1"/>
    <xf numFmtId="0" fontId="6" fillId="0" borderId="0" xfId="0" applyFont="1" applyAlignment="1">
      <alignment horizontal="center" vertical="top" wrapText="1"/>
    </xf>
    <xf numFmtId="0" fontId="1" fillId="0" borderId="0" xfId="0" applyFont="1" applyAlignment="1">
      <alignment horizontal="right" vertical="center" wrapText="1"/>
    </xf>
    <xf numFmtId="0" fontId="0" fillId="0" borderId="0" xfId="0" applyAlignment="1">
      <alignment horizontal="left" wrapText="1"/>
    </xf>
    <xf numFmtId="0" fontId="14" fillId="0" borderId="29" xfId="0" applyFont="1" applyBorder="1" applyAlignment="1">
      <alignment horizontal="center"/>
    </xf>
    <xf numFmtId="0" fontId="14" fillId="0" borderId="26" xfId="0" applyFont="1" applyBorder="1" applyAlignment="1">
      <alignment horizontal="left" vertical="center"/>
    </xf>
    <xf numFmtId="0" fontId="5" fillId="0" borderId="0" xfId="0" applyFont="1" applyAlignment="1">
      <alignment horizontal="left" wrapText="1"/>
    </xf>
    <xf numFmtId="0" fontId="17" fillId="0" borderId="10" xfId="0" applyFont="1" applyBorder="1" applyAlignment="1">
      <alignment horizontal="center" vertical="center" wrapText="1"/>
    </xf>
    <xf numFmtId="0" fontId="14" fillId="0" borderId="20" xfId="0" applyFont="1" applyBorder="1" applyAlignment="1">
      <alignment horizontal="left" vertical="center"/>
    </xf>
    <xf numFmtId="0" fontId="14" fillId="0" borderId="23" xfId="0" applyFont="1" applyBorder="1" applyAlignment="1">
      <alignment horizontal="left" vertical="center" wrapText="1"/>
    </xf>
    <xf numFmtId="0" fontId="6" fillId="0" borderId="0" xfId="0" applyFont="1" applyAlignment="1">
      <alignment horizontal="center" vertical="center"/>
    </xf>
    <xf numFmtId="0" fontId="1" fillId="0" borderId="0" xfId="0" applyFont="1" applyAlignment="1">
      <alignment horizontal="center" vertical="center" wrapText="1"/>
    </xf>
    <xf numFmtId="0" fontId="5" fillId="0" borderId="12" xfId="0" applyFont="1" applyBorder="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top" wrapText="1"/>
    </xf>
    <xf numFmtId="0" fontId="4" fillId="0" borderId="9" xfId="0" applyFont="1" applyBorder="1" applyAlignment="1">
      <alignment horizontal="left" vertical="top" wrapText="1"/>
    </xf>
    <xf numFmtId="0" fontId="1" fillId="0" borderId="13" xfId="0" applyFont="1" applyBorder="1" applyAlignment="1">
      <alignment horizontal="center" vertical="center" wrapText="1"/>
    </xf>
    <xf numFmtId="0" fontId="1" fillId="0" borderId="0" xfId="0" applyFont="1" applyAlignment="1">
      <alignment horizontal="center"/>
    </xf>
    <xf numFmtId="0" fontId="11" fillId="0" borderId="0" xfId="0" applyFont="1" applyAlignment="1">
      <alignment horizontal="center"/>
    </xf>
    <xf numFmtId="0" fontId="0" fillId="0" borderId="10" xfId="0" applyBorder="1" applyAlignment="1">
      <alignment horizont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1" fillId="0" borderId="11" xfId="0" applyFont="1" applyBorder="1" applyAlignment="1">
      <alignment horizontal="center" vertical="center" wrapText="1"/>
    </xf>
    <xf numFmtId="0" fontId="4" fillId="0" borderId="0" xfId="0" applyFont="1" applyAlignment="1">
      <alignment horizontal="left" vertical="center" wrapText="1"/>
    </xf>
    <xf numFmtId="0" fontId="16" fillId="0" borderId="0" xfId="0" applyFont="1" applyAlignment="1">
      <alignment horizontal="left" vertical="center" wrapText="1"/>
    </xf>
    <xf numFmtId="0" fontId="12" fillId="0" borderId="0" xfId="0" applyFont="1" applyAlignment="1">
      <alignment horizontal="center"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8" fillId="0" borderId="0" xfId="0" applyFont="1" applyAlignment="1">
      <alignment horizontal="left" vertical="center" wrapText="1"/>
    </xf>
    <xf numFmtId="0" fontId="2" fillId="0" borderId="10" xfId="0" applyFont="1" applyBorder="1" applyAlignment="1">
      <alignment horizontal="center" vertical="center" wrapText="1"/>
    </xf>
    <xf numFmtId="0" fontId="0" fillId="0" borderId="6" xfId="0" applyBorder="1" applyAlignment="1">
      <alignment horizontal="left" vertical="center"/>
    </xf>
    <xf numFmtId="0" fontId="1" fillId="0" borderId="0" xfId="0" applyFont="1" applyAlignment="1">
      <alignment vertical="center" wrapText="1"/>
    </xf>
    <xf numFmtId="0" fontId="1" fillId="0" borderId="15" xfId="0" applyFont="1" applyBorder="1" applyAlignment="1">
      <alignment horizontal="center" vertical="center" wrapText="1"/>
    </xf>
    <xf numFmtId="0" fontId="0" fillId="0" borderId="0" xfId="0" applyAlignment="1">
      <alignment horizontal="justify" vertical="center" wrapText="1"/>
    </xf>
    <xf numFmtId="0" fontId="0" fillId="0" borderId="2" xfId="0" applyBorder="1" applyAlignment="1">
      <alignment horizontal="justify" vertical="center" wrapText="1"/>
    </xf>
    <xf numFmtId="0" fontId="0" fillId="0" borderId="1" xfId="0" applyBorder="1" applyAlignment="1">
      <alignment horizontal="justify"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0" fillId="0" borderId="1" xfId="0" applyBorder="1" applyAlignment="1">
      <alignment vertical="center" wrapText="1"/>
    </xf>
    <xf numFmtId="0" fontId="0" fillId="0" borderId="6" xfId="0" applyBorder="1" applyAlignment="1">
      <alignment vertical="center" wrapText="1"/>
    </xf>
    <xf numFmtId="0" fontId="0" fillId="0" borderId="0" xfId="0" applyAlignment="1">
      <alignment vertical="top" wrapText="1"/>
    </xf>
    <xf numFmtId="0" fontId="0" fillId="0" borderId="0" xfId="0" applyAlignment="1">
      <alignment vertical="center" wrapText="1"/>
    </xf>
    <xf numFmtId="0" fontId="0" fillId="0" borderId="5" xfId="0" applyBorder="1" applyAlignment="1">
      <alignment vertical="center" wrapText="1"/>
    </xf>
    <xf numFmtId="0" fontId="4" fillId="0" borderId="0" xfId="0" applyFont="1" applyAlignment="1">
      <alignment vertical="center" wrapText="1"/>
    </xf>
    <xf numFmtId="0" fontId="4" fillId="0" borderId="5" xfId="0" applyFont="1" applyBorder="1" applyAlignment="1">
      <alignment vertical="center" wrapText="1"/>
    </xf>
    <xf numFmtId="0" fontId="0" fillId="0" borderId="8" xfId="0" applyBorder="1" applyAlignment="1">
      <alignment vertical="top" wrapText="1"/>
    </xf>
    <xf numFmtId="0" fontId="0" fillId="0" borderId="1" xfId="0" applyBorder="1" applyAlignment="1">
      <alignment vertical="top" wrapText="1"/>
    </xf>
    <xf numFmtId="0" fontId="13" fillId="0" borderId="13" xfId="0" applyFont="1" applyBorder="1" applyAlignment="1">
      <alignment vertical="center" wrapText="1"/>
    </xf>
    <xf numFmtId="0" fontId="3" fillId="0" borderId="0" xfId="0" applyFont="1" applyAlignment="1">
      <alignment vertical="center" wrapText="1"/>
    </xf>
    <xf numFmtId="14" fontId="31" fillId="0" borderId="0" xfId="0" applyNumberFormat="1" applyFont="1" applyAlignment="1">
      <alignment wrapText="1"/>
    </xf>
    <xf numFmtId="0" fontId="31" fillId="0" borderId="0" xfId="0" applyFont="1" applyAlignment="1">
      <alignment wrapText="1"/>
    </xf>
    <xf numFmtId="0" fontId="34" fillId="0" borderId="9" xfId="0" applyFont="1" applyBorder="1" applyAlignment="1">
      <alignment wrapText="1"/>
    </xf>
    <xf numFmtId="0" fontId="34" fillId="0" borderId="0" xfId="0" applyFont="1" applyAlignment="1">
      <alignment wrapText="1"/>
    </xf>
    <xf numFmtId="0" fontId="34" fillId="0" borderId="8" xfId="0" applyFont="1" applyBorder="1" applyAlignment="1">
      <alignment wrapText="1"/>
    </xf>
    <xf numFmtId="0" fontId="34" fillId="0" borderId="1" xfId="0" applyFont="1" applyBorder="1" applyAlignment="1">
      <alignment wrapText="1"/>
    </xf>
    <xf numFmtId="0" fontId="34" fillId="0" borderId="32" xfId="0" applyFont="1" applyBorder="1" applyAlignment="1">
      <alignment wrapText="1"/>
    </xf>
    <xf numFmtId="0" fontId="33" fillId="0" borderId="7" xfId="0" applyFont="1" applyBorder="1" applyAlignment="1"/>
    <xf numFmtId="0" fontId="33" fillId="0" borderId="3" xfId="0" applyFont="1" applyBorder="1" applyAlignment="1"/>
    <xf numFmtId="0" fontId="33" fillId="0" borderId="4" xfId="0" applyFont="1" applyBorder="1" applyAlignment="1"/>
    <xf numFmtId="0" fontId="34" fillId="0" borderId="7" xfId="0" applyFont="1" applyBorder="1" applyAlignment="1">
      <alignment wrapText="1"/>
    </xf>
    <xf numFmtId="0" fontId="34" fillId="0" borderId="3" xfId="0" applyFont="1" applyBorder="1" applyAlignment="1">
      <alignment wrapText="1"/>
    </xf>
    <xf numFmtId="0" fontId="34" fillId="0" borderId="31" xfId="0" applyFont="1" applyBorder="1" applyAlignment="1">
      <alignment wrapText="1"/>
    </xf>
    <xf numFmtId="0" fontId="34" fillId="0" borderId="33" xfId="0" applyFont="1" applyBorder="1" applyAlignment="1">
      <alignment wrapText="1"/>
    </xf>
    <xf numFmtId="0" fontId="35" fillId="0" borderId="7" xfId="0" applyFont="1" applyBorder="1" applyAlignment="1">
      <alignment wrapText="1"/>
    </xf>
    <xf numFmtId="0" fontId="35" fillId="0" borderId="31" xfId="0" applyFont="1" applyBorder="1" applyAlignment="1">
      <alignment wrapText="1"/>
    </xf>
    <xf numFmtId="0" fontId="36" fillId="2" borderId="1" xfId="0" applyFont="1" applyFill="1" applyBorder="1" applyAlignment="1">
      <alignment wrapText="1"/>
    </xf>
    <xf numFmtId="0" fontId="36" fillId="2" borderId="32" xfId="0" applyFont="1" applyFill="1" applyBorder="1" applyAlignment="1">
      <alignment wrapText="1"/>
    </xf>
    <xf numFmtId="0" fontId="37" fillId="2" borderId="2" xfId="0" applyFont="1" applyFill="1" applyBorder="1" applyAlignment="1">
      <alignment wrapText="1"/>
    </xf>
    <xf numFmtId="0" fontId="37" fillId="2" borderId="34" xfId="0" applyFont="1" applyFill="1" applyBorder="1" applyAlignment="1">
      <alignment wrapText="1"/>
    </xf>
    <xf numFmtId="0" fontId="39" fillId="0" borderId="1" xfId="0" applyFont="1" applyBorder="1" applyAlignment="1">
      <alignment wrapText="1"/>
    </xf>
    <xf numFmtId="0" fontId="39" fillId="0" borderId="32" xfId="0" applyFont="1" applyBorder="1" applyAlignment="1">
      <alignment wrapText="1"/>
    </xf>
    <xf numFmtId="0" fontId="34" fillId="0" borderId="36" xfId="0" applyFont="1" applyBorder="1" applyAlignment="1">
      <alignment wrapText="1"/>
    </xf>
    <xf numFmtId="0" fontId="34" fillId="0" borderId="2" xfId="0" applyFont="1" applyBorder="1" applyAlignment="1">
      <alignment wrapText="1"/>
    </xf>
    <xf numFmtId="0" fontId="34" fillId="0" borderId="35" xfId="0" applyFont="1" applyBorder="1" applyAlignment="1">
      <alignment wrapText="1"/>
    </xf>
    <xf numFmtId="0" fontId="34" fillId="0" borderId="34" xfId="0" applyFont="1" applyBorder="1" applyAlignment="1">
      <alignment wrapText="1"/>
    </xf>
    <xf numFmtId="0" fontId="34" fillId="2" borderId="36" xfId="0" applyFont="1" applyFill="1" applyBorder="1" applyAlignment="1">
      <alignment wrapText="1"/>
    </xf>
    <xf numFmtId="0" fontId="34" fillId="2" borderId="2" xfId="0" applyFont="1" applyFill="1" applyBorder="1" applyAlignment="1">
      <alignment wrapText="1"/>
    </xf>
    <xf numFmtId="0" fontId="34" fillId="2" borderId="3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07/relationships/hdphoto" Target="../media/hdphoto1.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07/relationships/hdphoto" Target="../media/hdphoto1.wdp"/><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07/relationships/hdphoto" Target="../media/hdphoto1.wd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342901</xdr:colOff>
      <xdr:row>0</xdr:row>
      <xdr:rowOff>0</xdr:rowOff>
    </xdr:from>
    <xdr:ext cx="586154" cy="571500"/>
    <xdr:pic>
      <xdr:nvPicPr>
        <xdr:cNvPr id="4" name="Hình ảnh 3">
          <a:extLst>
            <a:ext uri="{FF2B5EF4-FFF2-40B4-BE49-F238E27FC236}">
              <a16:creationId xmlns:a16="http://schemas.microsoft.com/office/drawing/2014/main" id="{52EBC1FD-F0A2-45CC-8A08-4B12D292FF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1986" t="29117" r="35784" b="29633"/>
        <a:stretch/>
      </xdr:blipFill>
      <xdr:spPr>
        <a:xfrm>
          <a:off x="6781801" y="0"/>
          <a:ext cx="586154" cy="571500"/>
        </a:xfrm>
        <a:prstGeom prst="rect">
          <a:avLst/>
        </a:prstGeom>
      </xdr:spPr>
    </xdr:pic>
    <xdr:clientData/>
  </xdr:oneCellAnchor>
  <xdr:twoCellAnchor editAs="oneCell">
    <xdr:from>
      <xdr:col>4</xdr:col>
      <xdr:colOff>952500</xdr:colOff>
      <xdr:row>51</xdr:row>
      <xdr:rowOff>142875</xdr:rowOff>
    </xdr:from>
    <xdr:to>
      <xdr:col>6</xdr:col>
      <xdr:colOff>108589</xdr:colOff>
      <xdr:row>60</xdr:row>
      <xdr:rowOff>180975</xdr:rowOff>
    </xdr:to>
    <xdr:pic>
      <xdr:nvPicPr>
        <xdr:cNvPr id="5" name="Hình ảnh 4">
          <a:extLst>
            <a:ext uri="{FF2B5EF4-FFF2-40B4-BE49-F238E27FC236}">
              <a16:creationId xmlns:a16="http://schemas.microsoft.com/office/drawing/2014/main" id="{6B271165-CEF8-4549-8E5E-AA5DB9029AC1}"/>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5162550" y="13106400"/>
          <a:ext cx="1384939" cy="1762125"/>
        </a:xfrm>
        <a:prstGeom prst="rect">
          <a:avLst/>
        </a:prstGeom>
      </xdr:spPr>
    </xdr:pic>
    <xdr:clientData/>
  </xdr:twoCellAnchor>
  <xdr:twoCellAnchor editAs="oneCell">
    <xdr:from>
      <xdr:col>0</xdr:col>
      <xdr:colOff>247650</xdr:colOff>
      <xdr:row>51</xdr:row>
      <xdr:rowOff>123826</xdr:rowOff>
    </xdr:from>
    <xdr:to>
      <xdr:col>2</xdr:col>
      <xdr:colOff>1120755</xdr:colOff>
      <xdr:row>62</xdr:row>
      <xdr:rowOff>171450</xdr:rowOff>
    </xdr:to>
    <xdr:pic>
      <xdr:nvPicPr>
        <xdr:cNvPr id="7" name="Hình ảnh 6">
          <a:extLst>
            <a:ext uri="{FF2B5EF4-FFF2-40B4-BE49-F238E27FC236}">
              <a16:creationId xmlns:a16="http://schemas.microsoft.com/office/drawing/2014/main" id="{3FD621F0-C7E7-FF89-5130-0849953A88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650" y="13087351"/>
          <a:ext cx="2701905" cy="2162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647700</xdr:colOff>
      <xdr:row>37</xdr:row>
      <xdr:rowOff>171450</xdr:rowOff>
    </xdr:from>
    <xdr:to>
      <xdr:col>7</xdr:col>
      <xdr:colOff>289564</xdr:colOff>
      <xdr:row>47</xdr:row>
      <xdr:rowOff>9525</xdr:rowOff>
    </xdr:to>
    <xdr:pic>
      <xdr:nvPicPr>
        <xdr:cNvPr id="3" name="Hình ảnh 2">
          <a:extLst>
            <a:ext uri="{FF2B5EF4-FFF2-40B4-BE49-F238E27FC236}">
              <a16:creationId xmlns:a16="http://schemas.microsoft.com/office/drawing/2014/main" id="{D2EE404D-738A-4F05-88FA-223234ECB1B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4610100" y="8248650"/>
          <a:ext cx="1384939" cy="1762125"/>
        </a:xfrm>
        <a:prstGeom prst="rect">
          <a:avLst/>
        </a:prstGeom>
      </xdr:spPr>
    </xdr:pic>
    <xdr:clientData/>
  </xdr:twoCellAnchor>
  <xdr:twoCellAnchor editAs="oneCell">
    <xdr:from>
      <xdr:col>0</xdr:col>
      <xdr:colOff>295275</xdr:colOff>
      <xdr:row>0</xdr:row>
      <xdr:rowOff>28574</xdr:rowOff>
    </xdr:from>
    <xdr:to>
      <xdr:col>1</xdr:col>
      <xdr:colOff>533400</xdr:colOff>
      <xdr:row>1</xdr:row>
      <xdr:rowOff>314324</xdr:rowOff>
    </xdr:to>
    <xdr:pic>
      <xdr:nvPicPr>
        <xdr:cNvPr id="4" name="Hình ảnh 3">
          <a:extLst>
            <a:ext uri="{FF2B5EF4-FFF2-40B4-BE49-F238E27FC236}">
              <a16:creationId xmlns:a16="http://schemas.microsoft.com/office/drawing/2014/main" id="{7C420541-EBFF-49A0-AA96-15E52B34D86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1986" t="29117" r="35784" b="29633"/>
        <a:stretch/>
      </xdr:blipFill>
      <xdr:spPr>
        <a:xfrm>
          <a:off x="295275" y="28574"/>
          <a:ext cx="581025" cy="61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95250</xdr:colOff>
      <xdr:row>29</xdr:row>
      <xdr:rowOff>9525</xdr:rowOff>
    </xdr:from>
    <xdr:to>
      <xdr:col>8</xdr:col>
      <xdr:colOff>409575</xdr:colOff>
      <xdr:row>38</xdr:row>
      <xdr:rowOff>57150</xdr:rowOff>
    </xdr:to>
    <xdr:pic>
      <xdr:nvPicPr>
        <xdr:cNvPr id="2" name="Hình ảnh 1">
          <a:extLst>
            <a:ext uri="{FF2B5EF4-FFF2-40B4-BE49-F238E27FC236}">
              <a16:creationId xmlns:a16="http://schemas.microsoft.com/office/drawing/2014/main" id="{C83B9842-21F7-478E-93BB-20E5EC48115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4638675" y="6400800"/>
          <a:ext cx="1571625" cy="1781175"/>
        </a:xfrm>
        <a:prstGeom prst="rect">
          <a:avLst/>
        </a:prstGeom>
      </xdr:spPr>
    </xdr:pic>
    <xdr:clientData/>
  </xdr:twoCellAnchor>
  <xdr:twoCellAnchor editAs="oneCell">
    <xdr:from>
      <xdr:col>0</xdr:col>
      <xdr:colOff>180975</xdr:colOff>
      <xdr:row>0</xdr:row>
      <xdr:rowOff>19049</xdr:rowOff>
    </xdr:from>
    <xdr:to>
      <xdr:col>1</xdr:col>
      <xdr:colOff>419100</xdr:colOff>
      <xdr:row>1</xdr:row>
      <xdr:rowOff>276225</xdr:rowOff>
    </xdr:to>
    <xdr:pic>
      <xdr:nvPicPr>
        <xdr:cNvPr id="3" name="Hình ảnh 2">
          <a:extLst>
            <a:ext uri="{FF2B5EF4-FFF2-40B4-BE49-F238E27FC236}">
              <a16:creationId xmlns:a16="http://schemas.microsoft.com/office/drawing/2014/main" id="{618B096E-39F2-46E2-9D65-75D3924BDDF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1986" t="29117" r="35784" b="29633"/>
        <a:stretch/>
      </xdr:blipFill>
      <xdr:spPr>
        <a:xfrm>
          <a:off x="180975" y="19049"/>
          <a:ext cx="581025" cy="5905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101877</xdr:colOff>
      <xdr:row>34</xdr:row>
      <xdr:rowOff>173934</xdr:rowOff>
    </xdr:from>
    <xdr:to>
      <xdr:col>7</xdr:col>
      <xdr:colOff>153316</xdr:colOff>
      <xdr:row>43</xdr:row>
      <xdr:rowOff>132522</xdr:rowOff>
    </xdr:to>
    <xdr:pic>
      <xdr:nvPicPr>
        <xdr:cNvPr id="6" name="Hình ảnh 5">
          <a:extLst>
            <a:ext uri="{FF2B5EF4-FFF2-40B4-BE49-F238E27FC236}">
              <a16:creationId xmlns:a16="http://schemas.microsoft.com/office/drawing/2014/main" id="{495F29CE-6930-23CF-E2B4-82B7D530A68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4168638" y="7868477"/>
          <a:ext cx="1384939" cy="1681371"/>
        </a:xfrm>
        <a:prstGeom prst="rect">
          <a:avLst/>
        </a:prstGeom>
      </xdr:spPr>
    </xdr:pic>
    <xdr:clientData/>
  </xdr:twoCellAnchor>
  <xdr:twoCellAnchor editAs="oneCell">
    <xdr:from>
      <xdr:col>7</xdr:col>
      <xdr:colOff>219075</xdr:colOff>
      <xdr:row>0</xdr:row>
      <xdr:rowOff>28575</xdr:rowOff>
    </xdr:from>
    <xdr:to>
      <xdr:col>7</xdr:col>
      <xdr:colOff>800100</xdr:colOff>
      <xdr:row>0</xdr:row>
      <xdr:rowOff>554369</xdr:rowOff>
    </xdr:to>
    <xdr:pic>
      <xdr:nvPicPr>
        <xdr:cNvPr id="4" name="Hình ảnh 3">
          <a:extLst>
            <a:ext uri="{FF2B5EF4-FFF2-40B4-BE49-F238E27FC236}">
              <a16:creationId xmlns:a16="http://schemas.microsoft.com/office/drawing/2014/main" id="{105CDCF3-9352-8923-8F32-2DB001C1BAFC}"/>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1986" t="29117" r="35784" b="29633"/>
        <a:stretch/>
      </xdr:blipFill>
      <xdr:spPr>
        <a:xfrm>
          <a:off x="5610225" y="28575"/>
          <a:ext cx="581025" cy="52579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7433-EEB2-4304-9E98-EDB0AD31F88E}">
  <sheetPr>
    <pageSetUpPr fitToPage="1"/>
  </sheetPr>
  <dimension ref="A1:H61"/>
  <sheetViews>
    <sheetView tabSelected="1" topLeftCell="A40" workbookViewId="0">
      <selection activeCell="N12" sqref="N12"/>
    </sheetView>
  </sheetViews>
  <sheetFormatPr defaultRowHeight="15"/>
  <cols>
    <col min="1" max="1" width="6.42578125" customWidth="1"/>
    <col min="2" max="2" width="21" customWidth="1"/>
    <col min="3" max="3" width="22.42578125" customWidth="1"/>
    <col min="4" max="4" width="13.28515625" customWidth="1"/>
    <col min="5" max="5" width="15.7109375" customWidth="1"/>
    <col min="6" max="6" width="17.7109375" customWidth="1"/>
    <col min="7" max="7" width="16.140625" customWidth="1"/>
  </cols>
  <sheetData>
    <row r="1" spans="1:8" ht="47.25" customHeight="1" thickBot="1">
      <c r="A1" s="152" t="s">
        <v>0</v>
      </c>
      <c r="B1" s="152"/>
      <c r="C1" s="152"/>
      <c r="D1" s="152"/>
      <c r="E1" s="152"/>
      <c r="F1" s="152"/>
      <c r="G1" s="152"/>
      <c r="H1" s="2"/>
    </row>
    <row r="2" spans="1:8">
      <c r="A2" s="161" t="s">
        <v>1</v>
      </c>
      <c r="B2" s="161"/>
      <c r="C2" s="161"/>
      <c r="D2" s="161"/>
      <c r="E2" s="161"/>
      <c r="F2" s="161"/>
      <c r="G2" s="161"/>
      <c r="H2" s="2"/>
    </row>
    <row r="3" spans="1:8">
      <c r="A3" s="156" t="s">
        <v>2</v>
      </c>
      <c r="B3" s="156"/>
      <c r="C3" s="156"/>
      <c r="D3" s="156"/>
      <c r="E3" s="156"/>
      <c r="F3" s="156"/>
      <c r="G3" s="156"/>
      <c r="H3" s="2"/>
    </row>
    <row r="4" spans="1:8">
      <c r="A4" s="3"/>
      <c r="B4" s="3"/>
      <c r="C4" s="3"/>
      <c r="D4" s="3"/>
      <c r="E4" s="3"/>
      <c r="F4" s="3"/>
      <c r="G4" s="3"/>
      <c r="H4" s="2"/>
    </row>
    <row r="5" spans="1:8" ht="15" customHeight="1">
      <c r="A5" s="42" t="s">
        <v>3</v>
      </c>
      <c r="B5" s="83"/>
      <c r="C5" s="83"/>
      <c r="D5" s="83"/>
      <c r="E5" s="84" t="s">
        <v>4</v>
      </c>
      <c r="G5" s="5"/>
      <c r="H5" s="5"/>
    </row>
    <row r="6" spans="1:8" ht="19.5" customHeight="1">
      <c r="A6" s="6" t="s">
        <v>5</v>
      </c>
      <c r="B6" s="2"/>
      <c r="C6" s="2"/>
      <c r="D6" s="2"/>
      <c r="E6" s="85" t="s">
        <v>6</v>
      </c>
      <c r="G6" s="2"/>
      <c r="H6" s="2"/>
    </row>
    <row r="7" spans="1:8" s="30" customFormat="1" ht="33.75" customHeight="1">
      <c r="A7" s="159" t="s">
        <v>7</v>
      </c>
      <c r="B7" s="159"/>
      <c r="C7" s="159"/>
      <c r="D7" s="159"/>
      <c r="E7" s="160" t="s">
        <v>8</v>
      </c>
      <c r="F7" s="159"/>
      <c r="G7" s="159"/>
      <c r="H7" s="82"/>
    </row>
    <row r="8" spans="1:8" ht="17.25" customHeight="1">
      <c r="A8" s="71" t="s">
        <v>9</v>
      </c>
      <c r="B8" s="79"/>
      <c r="C8" s="79"/>
      <c r="D8" s="79"/>
      <c r="E8" s="86" t="s">
        <v>10</v>
      </c>
      <c r="G8" s="5"/>
      <c r="H8" s="5"/>
    </row>
    <row r="9" spans="1:8" ht="17.25" customHeight="1">
      <c r="A9" s="81" t="s">
        <v>11</v>
      </c>
      <c r="B9" s="80"/>
      <c r="C9" s="80"/>
      <c r="D9" s="80"/>
      <c r="E9" s="86" t="s">
        <v>12</v>
      </c>
      <c r="F9" s="5"/>
      <c r="G9" s="5"/>
      <c r="H9" s="5"/>
    </row>
    <row r="10" spans="1:8" ht="15" customHeight="1">
      <c r="A10" s="87" t="s">
        <v>13</v>
      </c>
      <c r="B10" s="48"/>
      <c r="C10" s="48"/>
      <c r="D10" s="48"/>
      <c r="E10" s="78"/>
      <c r="G10" s="5"/>
      <c r="H10" s="5"/>
    </row>
    <row r="11" spans="1:8" ht="21.75" customHeight="1">
      <c r="A11" s="88" t="s">
        <v>14</v>
      </c>
      <c r="B11" s="2"/>
      <c r="C11" s="2"/>
      <c r="D11" s="2"/>
      <c r="E11" s="78"/>
      <c r="G11" s="2"/>
      <c r="H11" s="2"/>
    </row>
    <row r="12" spans="1:8" ht="30.75" customHeight="1">
      <c r="A12" s="158" t="s">
        <v>15</v>
      </c>
      <c r="B12" s="158"/>
      <c r="C12" s="158"/>
      <c r="D12" s="158"/>
      <c r="E12" s="23"/>
      <c r="F12" s="5"/>
      <c r="G12" s="5"/>
      <c r="H12" s="5"/>
    </row>
    <row r="13" spans="1:8">
      <c r="A13" s="88" t="s">
        <v>16</v>
      </c>
      <c r="D13" s="79"/>
      <c r="E13" s="78"/>
      <c r="G13" s="2"/>
      <c r="H13" s="2"/>
    </row>
    <row r="14" spans="1:8" ht="17.25" customHeight="1">
      <c r="A14" s="88" t="s">
        <v>17</v>
      </c>
      <c r="B14" s="71"/>
      <c r="C14" s="71"/>
      <c r="D14" s="71"/>
      <c r="E14" s="23"/>
      <c r="F14" s="6"/>
      <c r="G14" s="2"/>
      <c r="H14" s="2"/>
    </row>
    <row r="15" spans="1:8" ht="17.25" customHeight="1">
      <c r="A15" s="88" t="s">
        <v>18</v>
      </c>
      <c r="B15" s="71"/>
      <c r="C15" s="71"/>
      <c r="D15" s="71"/>
      <c r="E15" s="23"/>
      <c r="F15" s="6"/>
      <c r="G15" s="2"/>
      <c r="H15" s="2"/>
    </row>
    <row r="16" spans="1:8" ht="48" customHeight="1" thickBot="1">
      <c r="A16" s="157" t="s">
        <v>19</v>
      </c>
      <c r="B16" s="157"/>
      <c r="C16" s="157"/>
      <c r="D16" s="157"/>
      <c r="E16" s="92"/>
      <c r="F16" s="93"/>
      <c r="G16" s="93"/>
      <c r="H16" s="2"/>
    </row>
    <row r="17" spans="1:8" ht="17.25" customHeight="1" thickTop="1">
      <c r="A17" s="90" t="s">
        <v>20</v>
      </c>
      <c r="B17" s="71"/>
      <c r="C17" s="119" t="s">
        <v>21</v>
      </c>
      <c r="D17" s="71"/>
      <c r="E17" s="5"/>
      <c r="F17" s="117" t="s">
        <v>22</v>
      </c>
      <c r="G17" s="2" t="s">
        <v>23</v>
      </c>
      <c r="H17" s="2"/>
    </row>
    <row r="18" spans="1:8" ht="17.25" customHeight="1">
      <c r="A18" s="91" t="s">
        <v>24</v>
      </c>
      <c r="B18" s="71"/>
      <c r="C18" s="86" t="s">
        <v>25</v>
      </c>
      <c r="D18" s="71"/>
      <c r="E18" s="5"/>
      <c r="F18" s="118" t="s">
        <v>26</v>
      </c>
      <c r="G18" s="6" t="s">
        <v>27</v>
      </c>
      <c r="H18" s="2"/>
    </row>
    <row r="19" spans="1:8" ht="17.25" customHeight="1">
      <c r="A19" s="88"/>
      <c r="B19" s="71"/>
      <c r="C19" s="71"/>
      <c r="D19" s="71"/>
      <c r="E19" s="5"/>
      <c r="F19" s="6"/>
      <c r="G19" s="2"/>
      <c r="H19" s="2"/>
    </row>
    <row r="20" spans="1:8" ht="17.25" customHeight="1" thickBot="1">
      <c r="A20" s="89" t="s">
        <v>28</v>
      </c>
      <c r="B20" s="71"/>
      <c r="C20" s="71" t="str">
        <f>"Total "&amp;SUM(E23:E25)&amp;" set and pieces of goods"</f>
        <v>Total 57 set and pieces of goods</v>
      </c>
      <c r="D20" s="71"/>
      <c r="E20" s="5"/>
      <c r="F20" s="115" t="s">
        <v>29</v>
      </c>
      <c r="G20" s="116" t="s">
        <v>30</v>
      </c>
      <c r="H20" s="2"/>
    </row>
    <row r="21" spans="1:8" ht="31.5" thickTop="1" thickBot="1">
      <c r="A21" s="43" t="s">
        <v>31</v>
      </c>
      <c r="B21" s="69" t="s">
        <v>32</v>
      </c>
      <c r="C21" s="44" t="s">
        <v>33</v>
      </c>
      <c r="D21" s="44" t="s">
        <v>34</v>
      </c>
      <c r="E21" s="44" t="s">
        <v>35</v>
      </c>
      <c r="F21" s="44" t="s">
        <v>36</v>
      </c>
      <c r="G21" s="44" t="s">
        <v>37</v>
      </c>
    </row>
    <row r="22" spans="1:8" ht="17.25" customHeight="1" thickTop="1">
      <c r="A22" s="3"/>
      <c r="B22" s="5"/>
      <c r="C22" s="4"/>
      <c r="D22" s="4"/>
      <c r="E22" s="4"/>
      <c r="F22" s="4"/>
      <c r="G22" s="4"/>
    </row>
    <row r="23" spans="1:8" ht="25.5" customHeight="1">
      <c r="A23" s="11">
        <v>1</v>
      </c>
      <c r="B23" s="49" t="s">
        <v>38</v>
      </c>
      <c r="C23" s="77" t="s">
        <v>39</v>
      </c>
      <c r="D23" s="12" t="s">
        <v>40</v>
      </c>
      <c r="E23" s="12">
        <v>5</v>
      </c>
      <c r="F23" s="13">
        <v>67100</v>
      </c>
      <c r="G23" s="13">
        <v>335500</v>
      </c>
    </row>
    <row r="24" spans="1:8" ht="27" customHeight="1">
      <c r="A24" s="15">
        <v>2</v>
      </c>
      <c r="B24" s="94" t="s">
        <v>41</v>
      </c>
      <c r="C24" s="61" t="s">
        <v>42</v>
      </c>
      <c r="D24" s="16" t="s">
        <v>43</v>
      </c>
      <c r="E24" s="16">
        <v>29</v>
      </c>
      <c r="F24" s="61" t="s">
        <v>44</v>
      </c>
      <c r="G24" s="17">
        <v>156600</v>
      </c>
    </row>
    <row r="25" spans="1:8" ht="15" customHeight="1">
      <c r="A25" s="15">
        <v>3</v>
      </c>
      <c r="B25" s="94" t="s">
        <v>45</v>
      </c>
      <c r="C25" s="16" t="s">
        <v>46</v>
      </c>
      <c r="D25" s="16" t="s">
        <v>43</v>
      </c>
      <c r="E25" s="16">
        <v>23</v>
      </c>
      <c r="F25" s="61" t="s">
        <v>47</v>
      </c>
      <c r="G25" s="17">
        <v>96600</v>
      </c>
    </row>
    <row r="26" spans="1:8" ht="15" customHeight="1">
      <c r="A26" s="147" t="s">
        <v>48</v>
      </c>
      <c r="B26" s="147"/>
      <c r="C26" s="147"/>
      <c r="D26" s="1"/>
      <c r="E26" s="1"/>
      <c r="F26" s="4" t="s">
        <v>49</v>
      </c>
      <c r="G26" s="60">
        <f>SUM(G23:G25)</f>
        <v>588700</v>
      </c>
    </row>
    <row r="27" spans="1:8" ht="15" customHeight="1">
      <c r="A27" s="95" t="e" cm="1">
        <f t="array" aca="1" ref="A27" ca="1">"In Words:   "&amp;_xll.USD(G26)</f>
        <v>#NAME?</v>
      </c>
      <c r="B27" s="70"/>
      <c r="C27" s="70"/>
      <c r="D27" s="1"/>
      <c r="E27" s="1"/>
      <c r="F27" s="4"/>
      <c r="G27" s="60"/>
    </row>
    <row r="28" spans="1:8" ht="44.25" customHeight="1">
      <c r="A28" s="151" t="s">
        <v>50</v>
      </c>
      <c r="B28" s="151"/>
      <c r="C28" s="151"/>
      <c r="D28" s="151"/>
      <c r="E28" s="151"/>
      <c r="F28" s="151"/>
      <c r="G28" s="151"/>
    </row>
    <row r="29" spans="1:8">
      <c r="A29" s="31" t="s">
        <v>51</v>
      </c>
    </row>
    <row r="30" spans="1:8">
      <c r="A30" s="74" t="s">
        <v>52</v>
      </c>
    </row>
    <row r="31" spans="1:8">
      <c r="A31" s="89" t="s">
        <v>53</v>
      </c>
    </row>
    <row r="32" spans="1:8">
      <c r="A32" t="s">
        <v>54</v>
      </c>
    </row>
    <row r="33" spans="1:7">
      <c r="A33" s="31" t="s">
        <v>55</v>
      </c>
    </row>
    <row r="34" spans="1:7">
      <c r="A34" s="71" t="s">
        <v>56</v>
      </c>
      <c r="B34" s="71"/>
      <c r="C34" s="71" t="s">
        <v>57</v>
      </c>
    </row>
    <row r="35" spans="1:7">
      <c r="A35" s="71" t="s">
        <v>58</v>
      </c>
      <c r="B35" s="71"/>
      <c r="C35" s="71" t="s">
        <v>57</v>
      </c>
    </row>
    <row r="36" spans="1:7">
      <c r="A36" s="31" t="s">
        <v>59</v>
      </c>
    </row>
    <row r="37" spans="1:7" ht="30.75" customHeight="1">
      <c r="A37" s="148" t="s">
        <v>60</v>
      </c>
      <c r="B37" s="148"/>
      <c r="C37" s="148"/>
      <c r="D37" s="148"/>
      <c r="E37" s="148"/>
      <c r="F37" s="148"/>
      <c r="G37" s="148"/>
    </row>
    <row r="38" spans="1:7">
      <c r="A38" s="96" t="s">
        <v>61</v>
      </c>
    </row>
    <row r="39" spans="1:7" ht="45.75" customHeight="1">
      <c r="A39" s="148" t="s">
        <v>62</v>
      </c>
      <c r="B39" s="148"/>
      <c r="C39" s="148"/>
      <c r="D39" s="148"/>
      <c r="E39" s="148"/>
      <c r="F39" s="148"/>
      <c r="G39" s="148"/>
    </row>
    <row r="40" spans="1:7">
      <c r="A40" t="s">
        <v>63</v>
      </c>
    </row>
    <row r="41" spans="1:7" ht="29.25" customHeight="1">
      <c r="A41" s="148" t="s">
        <v>64</v>
      </c>
      <c r="B41" s="148"/>
      <c r="C41" s="148"/>
      <c r="D41" s="148"/>
      <c r="E41" s="148"/>
      <c r="F41" s="148"/>
      <c r="G41" s="148"/>
    </row>
    <row r="42" spans="1:7">
      <c r="A42" t="s">
        <v>65</v>
      </c>
    </row>
    <row r="43" spans="1:7">
      <c r="A43" t="s">
        <v>66</v>
      </c>
    </row>
    <row r="44" spans="1:7" ht="15.75" thickBot="1">
      <c r="A44" s="74" t="s">
        <v>67</v>
      </c>
      <c r="B44" s="74"/>
      <c r="C44" s="74"/>
      <c r="D44" s="74"/>
      <c r="E44" s="74"/>
      <c r="F44" s="74"/>
    </row>
    <row r="45" spans="1:7" s="28" customFormat="1" ht="15.75" thickTop="1">
      <c r="A45" s="103" t="s">
        <v>68</v>
      </c>
      <c r="B45" s="149" t="s">
        <v>69</v>
      </c>
      <c r="C45" s="149"/>
      <c r="D45" s="104" t="s">
        <v>35</v>
      </c>
      <c r="E45" s="104" t="s">
        <v>70</v>
      </c>
      <c r="F45" s="105" t="s">
        <v>71</v>
      </c>
    </row>
    <row r="46" spans="1:7">
      <c r="A46" s="106">
        <v>1</v>
      </c>
      <c r="B46" s="150" t="s">
        <v>72</v>
      </c>
      <c r="C46" s="150"/>
      <c r="D46" s="107">
        <v>3</v>
      </c>
      <c r="E46" s="107" t="s">
        <v>73</v>
      </c>
      <c r="F46" s="108"/>
    </row>
    <row r="47" spans="1:7">
      <c r="A47" s="109">
        <v>2</v>
      </c>
      <c r="B47" s="153" t="s">
        <v>74</v>
      </c>
      <c r="C47" s="153"/>
      <c r="D47" s="110">
        <v>3</v>
      </c>
      <c r="E47" s="110" t="s">
        <v>73</v>
      </c>
      <c r="F47" s="111"/>
    </row>
    <row r="48" spans="1:7">
      <c r="A48" s="109">
        <v>3</v>
      </c>
      <c r="B48" s="153" t="s">
        <v>75</v>
      </c>
      <c r="C48" s="153"/>
      <c r="D48" s="110">
        <v>1</v>
      </c>
      <c r="E48" s="110" t="s">
        <v>73</v>
      </c>
      <c r="F48" s="111" t="s">
        <v>76</v>
      </c>
    </row>
    <row r="49" spans="1:7" ht="30.75" customHeight="1" thickBot="1">
      <c r="A49" s="112">
        <v>4</v>
      </c>
      <c r="B49" s="154" t="s">
        <v>77</v>
      </c>
      <c r="C49" s="154"/>
      <c r="D49" s="113">
        <v>1</v>
      </c>
      <c r="E49" s="113" t="s">
        <v>73</v>
      </c>
      <c r="F49" s="114" t="s">
        <v>76</v>
      </c>
    </row>
    <row r="50" spans="1:7" ht="15.75" thickTop="1"/>
    <row r="51" spans="1:7" ht="15" customHeight="1">
      <c r="A51" s="155" t="s">
        <v>78</v>
      </c>
      <c r="B51" s="155"/>
      <c r="C51" s="155"/>
      <c r="D51" s="55"/>
      <c r="E51" s="55"/>
      <c r="F51" s="97" t="s">
        <v>79</v>
      </c>
      <c r="G51" s="55"/>
    </row>
    <row r="52" spans="1:7" ht="15" customHeight="1">
      <c r="A52" s="146" t="s">
        <v>80</v>
      </c>
      <c r="B52" s="146"/>
      <c r="C52" s="146"/>
      <c r="D52" s="98"/>
      <c r="E52" s="98"/>
      <c r="F52" s="99" t="s">
        <v>5</v>
      </c>
      <c r="G52" s="98"/>
    </row>
    <row r="60" spans="1:7" ht="15.75" thickBot="1"/>
    <row r="61" spans="1:7" ht="15.75" thickTop="1">
      <c r="A61" s="102" t="s">
        <v>81</v>
      </c>
      <c r="B61" s="67"/>
      <c r="C61" s="101" t="s">
        <v>82</v>
      </c>
      <c r="E61" s="100" t="s">
        <v>81</v>
      </c>
      <c r="F61" s="66"/>
      <c r="G61" s="101" t="s">
        <v>83</v>
      </c>
    </row>
  </sheetData>
  <mergeCells count="19">
    <mergeCell ref="A1:G1"/>
    <mergeCell ref="B47:C47"/>
    <mergeCell ref="B48:C48"/>
    <mergeCell ref="B49:C49"/>
    <mergeCell ref="A51:C51"/>
    <mergeCell ref="A3:G3"/>
    <mergeCell ref="A16:D16"/>
    <mergeCell ref="A12:D12"/>
    <mergeCell ref="A7:D7"/>
    <mergeCell ref="E7:G7"/>
    <mergeCell ref="A2:G2"/>
    <mergeCell ref="A52:C52"/>
    <mergeCell ref="A26:C26"/>
    <mergeCell ref="A39:G39"/>
    <mergeCell ref="A37:G37"/>
    <mergeCell ref="A41:G41"/>
    <mergeCell ref="B45:C45"/>
    <mergeCell ref="B46:C46"/>
    <mergeCell ref="A28:G28"/>
  </mergeCells>
  <printOptions horizontalCentered="1"/>
  <pageMargins left="0.45" right="0.45" top="0.5" bottom="0.5" header="0" footer="0"/>
  <pageSetup paperSize="9" scale="83"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B4B7F-8D72-41E1-95E4-DD7DCD4D222C}">
  <sheetPr>
    <pageSetUpPr fitToPage="1"/>
  </sheetPr>
  <dimension ref="A1:I47"/>
  <sheetViews>
    <sheetView zoomScaleNormal="100" workbookViewId="0">
      <selection activeCell="A26" sqref="A26"/>
    </sheetView>
  </sheetViews>
  <sheetFormatPr defaultRowHeight="15"/>
  <cols>
    <col min="1" max="1" width="5.140625" customWidth="1"/>
    <col min="2" max="2" width="13.85546875" customWidth="1"/>
    <col min="3" max="3" width="13.28515625" customWidth="1"/>
    <col min="4" max="4" width="21" customWidth="1"/>
    <col min="5" max="5" width="11.85546875" customWidth="1"/>
    <col min="6" max="6" width="12.42578125" customWidth="1"/>
    <col min="7" max="7" width="13.7109375" customWidth="1"/>
    <col min="8" max="8" width="16.85546875" customWidth="1"/>
  </cols>
  <sheetData>
    <row r="1" spans="1:9" ht="26.25">
      <c r="A1" s="35"/>
      <c r="B1" s="35"/>
      <c r="C1" s="163" t="s">
        <v>5</v>
      </c>
      <c r="D1" s="163"/>
      <c r="E1" s="163"/>
      <c r="F1" s="163"/>
      <c r="G1" s="163"/>
      <c r="H1" s="163"/>
    </row>
    <row r="2" spans="1:9" ht="30" customHeight="1" thickBot="1">
      <c r="A2" s="36"/>
      <c r="B2" s="36"/>
      <c r="C2" s="164" t="s">
        <v>84</v>
      </c>
      <c r="D2" s="164"/>
      <c r="E2" s="164"/>
      <c r="F2" s="164"/>
      <c r="G2" s="164"/>
      <c r="H2" s="164"/>
    </row>
    <row r="4" spans="1:9" ht="26.25">
      <c r="A4" s="170" t="s">
        <v>85</v>
      </c>
      <c r="B4" s="170"/>
      <c r="C4" s="170"/>
      <c r="D4" s="170"/>
      <c r="E4" s="170"/>
      <c r="F4" s="170"/>
      <c r="G4" s="170"/>
      <c r="H4" s="170"/>
    </row>
    <row r="5" spans="1:9">
      <c r="A5" s="156" t="str">
        <f>'Sales Contract'!A2</f>
        <v xml:space="preserve">No. ERK0508024 </v>
      </c>
      <c r="B5" s="156"/>
      <c r="C5" s="156"/>
      <c r="D5" s="156"/>
      <c r="E5" s="156"/>
      <c r="F5" s="156"/>
      <c r="G5" s="156"/>
      <c r="H5" s="156"/>
    </row>
    <row r="6" spans="1:9" ht="15" customHeight="1">
      <c r="A6" s="1"/>
      <c r="B6" s="1"/>
      <c r="C6" s="1"/>
      <c r="D6" s="1"/>
      <c r="E6" s="1"/>
      <c r="F6" s="1"/>
      <c r="G6" s="1"/>
      <c r="H6" s="1"/>
    </row>
    <row r="7" spans="1:9" ht="15" customHeight="1">
      <c r="A7" s="39"/>
      <c r="B7" s="41" t="s">
        <v>4</v>
      </c>
      <c r="C7" s="39"/>
      <c r="D7" s="39"/>
      <c r="E7" s="39"/>
      <c r="F7" s="39"/>
      <c r="G7" s="10" t="s">
        <v>86</v>
      </c>
      <c r="H7" s="40" t="str">
        <f>RIGHT('Sales Contract'!A3,14)</f>
        <v>05th AUG, 2024</v>
      </c>
      <c r="I7" s="30"/>
    </row>
    <row r="8" spans="1:9" ht="15" customHeight="1">
      <c r="A8" s="39"/>
      <c r="B8" s="37" t="str">
        <f>'Sales Contract'!E6</f>
        <v>EUREKA TRADE AND IMPORT EXPORT COMPANY LIMITED</v>
      </c>
      <c r="C8" s="39"/>
      <c r="D8" s="39"/>
      <c r="E8" s="39"/>
      <c r="F8" s="39"/>
      <c r="G8" s="70" t="s">
        <v>26</v>
      </c>
      <c r="H8" s="40" t="str">
        <f>'Sales Contract'!G18</f>
        <v>FOB NANSHA</v>
      </c>
      <c r="I8" s="30"/>
    </row>
    <row r="9" spans="1:9" ht="28.5" customHeight="1">
      <c r="A9" s="39"/>
      <c r="B9" s="168" t="str">
        <f>'Sales Contract'!E7</f>
        <v>Add: No. 3, Alley 56, An Son Lane, Dai La Street, Truong Dinh Ward, Hai Ba Trung District, Hanoi City, Vietnam</v>
      </c>
      <c r="C9" s="168"/>
      <c r="D9" s="168"/>
      <c r="E9" s="168"/>
      <c r="F9" s="168"/>
      <c r="G9" s="39"/>
      <c r="H9" s="39"/>
      <c r="I9" s="30"/>
    </row>
    <row r="10" spans="1:9" ht="15" customHeight="1">
      <c r="A10" s="39"/>
      <c r="B10" s="37" t="str">
        <f>'Sales Contract'!E8</f>
        <v>Tell/Fax: 089.858.6633</v>
      </c>
      <c r="C10" s="120"/>
      <c r="D10" s="39"/>
      <c r="E10" s="39"/>
      <c r="F10" s="39"/>
      <c r="G10" s="39"/>
      <c r="H10" s="39"/>
      <c r="I10" s="30"/>
    </row>
    <row r="11" spans="1:9" ht="15" customHeight="1">
      <c r="A11" s="39"/>
      <c r="B11" s="39"/>
      <c r="C11" s="39"/>
      <c r="D11" s="39"/>
      <c r="E11" s="39"/>
      <c r="F11" s="39"/>
      <c r="G11" s="39"/>
      <c r="H11" s="39"/>
      <c r="I11" s="30"/>
    </row>
    <row r="12" spans="1:9">
      <c r="A12" s="39"/>
      <c r="B12" s="39" t="s">
        <v>87</v>
      </c>
      <c r="C12" s="39" t="s">
        <v>88</v>
      </c>
      <c r="D12" s="72" t="str">
        <f>'Sales Contract'!A30</f>
        <v>100% T/T total amount after B/L issueing</v>
      </c>
      <c r="E12" s="37"/>
      <c r="F12" s="37"/>
      <c r="G12" s="38"/>
      <c r="H12" s="38"/>
      <c r="I12" s="30"/>
    </row>
    <row r="13" spans="1:9" ht="15" customHeight="1">
      <c r="A13" s="6"/>
      <c r="B13" s="71" t="s">
        <v>56</v>
      </c>
      <c r="C13" s="71" t="s">
        <v>88</v>
      </c>
      <c r="D13" s="71" t="s">
        <v>89</v>
      </c>
      <c r="E13" s="6"/>
      <c r="F13" s="6"/>
      <c r="G13" s="6"/>
      <c r="H13" s="6"/>
    </row>
    <row r="14" spans="1:9" ht="15" customHeight="1">
      <c r="A14" s="6"/>
      <c r="B14" s="71" t="s">
        <v>58</v>
      </c>
      <c r="C14" s="71" t="s">
        <v>88</v>
      </c>
      <c r="D14" s="71" t="s">
        <v>89</v>
      </c>
      <c r="E14" s="6"/>
      <c r="F14" s="6"/>
      <c r="H14" s="6"/>
    </row>
    <row r="15" spans="1:9">
      <c r="A15" s="6"/>
      <c r="B15" s="71" t="s">
        <v>90</v>
      </c>
      <c r="C15" s="71" t="s">
        <v>88</v>
      </c>
      <c r="D15" s="71" t="str">
        <f>'Sales Contract'!A32</f>
        <v>Export standard packing</v>
      </c>
      <c r="E15" s="6"/>
      <c r="F15" s="6"/>
      <c r="H15" s="7"/>
    </row>
    <row r="16" spans="1:9" ht="15" customHeight="1">
      <c r="A16" s="6"/>
      <c r="B16" s="71" t="s">
        <v>91</v>
      </c>
      <c r="C16" s="71" t="s">
        <v>88</v>
      </c>
      <c r="D16" s="71" t="str">
        <f>'Sales Contract'!G20</f>
        <v>Made in China</v>
      </c>
      <c r="E16" s="6"/>
      <c r="F16" s="6"/>
      <c r="G16" s="6"/>
      <c r="H16" s="6"/>
    </row>
    <row r="17" spans="1:8" ht="15" customHeight="1">
      <c r="A17" s="6"/>
      <c r="B17" s="71" t="s">
        <v>92</v>
      </c>
      <c r="C17" s="71" t="s">
        <v>88</v>
      </c>
      <c r="D17" s="6"/>
      <c r="E17" s="6"/>
      <c r="F17" s="6"/>
      <c r="G17" s="6"/>
      <c r="H17" s="6"/>
    </row>
    <row r="18" spans="1:8" ht="15" customHeight="1" thickBot="1">
      <c r="A18" s="6"/>
      <c r="B18" s="6"/>
      <c r="C18" s="6"/>
      <c r="D18" s="6"/>
      <c r="E18" s="6"/>
      <c r="F18" s="6"/>
      <c r="G18" s="2"/>
      <c r="H18" s="2"/>
    </row>
    <row r="19" spans="1:8" s="28" customFormat="1" ht="31.5" customHeight="1" thickTop="1" thickBot="1">
      <c r="A19" s="43" t="s">
        <v>31</v>
      </c>
      <c r="B19" s="167" t="s">
        <v>32</v>
      </c>
      <c r="C19" s="167"/>
      <c r="D19" s="44" t="s">
        <v>33</v>
      </c>
      <c r="E19" s="44" t="s">
        <v>34</v>
      </c>
      <c r="F19" s="44" t="s">
        <v>35</v>
      </c>
      <c r="G19" s="44" t="s">
        <v>36</v>
      </c>
      <c r="H19" s="44" t="s">
        <v>37</v>
      </c>
    </row>
    <row r="20" spans="1:8" ht="15.75" thickTop="1">
      <c r="A20" s="3"/>
      <c r="B20" s="156"/>
      <c r="C20" s="156"/>
      <c r="D20" s="4"/>
      <c r="E20" s="4"/>
      <c r="F20" s="4"/>
      <c r="G20" s="4"/>
      <c r="H20" s="4"/>
    </row>
    <row r="21" spans="1:8" ht="35.25" customHeight="1">
      <c r="A21" s="11">
        <v>1</v>
      </c>
      <c r="B21" s="166" t="s">
        <v>38</v>
      </c>
      <c r="C21" s="166"/>
      <c r="D21" s="77" t="s">
        <v>39</v>
      </c>
      <c r="E21" s="12" t="s">
        <v>40</v>
      </c>
      <c r="F21" s="12">
        <v>5</v>
      </c>
      <c r="G21" s="13">
        <v>67100</v>
      </c>
      <c r="H21" s="13">
        <v>335500</v>
      </c>
    </row>
    <row r="22" spans="1:8" ht="35.25" customHeight="1">
      <c r="A22" s="15">
        <v>2</v>
      </c>
      <c r="B22" s="165" t="s">
        <v>41</v>
      </c>
      <c r="C22" s="165"/>
      <c r="D22" s="61" t="s">
        <v>42</v>
      </c>
      <c r="E22" s="16" t="s">
        <v>43</v>
      </c>
      <c r="F22" s="16">
        <v>29</v>
      </c>
      <c r="G22" s="61" t="s">
        <v>44</v>
      </c>
      <c r="H22" s="17">
        <v>156600</v>
      </c>
    </row>
    <row r="23" spans="1:8">
      <c r="A23" s="15">
        <v>3</v>
      </c>
      <c r="B23" s="165" t="s">
        <v>45</v>
      </c>
      <c r="C23" s="165"/>
      <c r="D23" s="16" t="s">
        <v>46</v>
      </c>
      <c r="E23" s="16" t="s">
        <v>43</v>
      </c>
      <c r="F23" s="16">
        <v>23</v>
      </c>
      <c r="G23" s="61" t="s">
        <v>47</v>
      </c>
      <c r="H23" s="17">
        <v>96600</v>
      </c>
    </row>
    <row r="24" spans="1:8" ht="15" customHeight="1">
      <c r="A24" s="147" t="s">
        <v>48</v>
      </c>
      <c r="B24" s="147"/>
      <c r="C24" s="147"/>
      <c r="D24" s="1"/>
      <c r="E24" s="1"/>
      <c r="F24" s="1"/>
      <c r="G24" s="4" t="s">
        <v>49</v>
      </c>
      <c r="H24" s="60">
        <f>SUM(H21:H23)</f>
        <v>588700</v>
      </c>
    </row>
    <row r="25" spans="1:8">
      <c r="A25" s="2"/>
      <c r="B25" s="2"/>
      <c r="C25" s="2"/>
      <c r="D25" s="2"/>
      <c r="E25" s="2"/>
      <c r="F25" s="2"/>
      <c r="G25" s="2"/>
      <c r="H25" s="2"/>
    </row>
    <row r="26" spans="1:8">
      <c r="A26" s="33" t="e" cm="1">
        <f t="array" aca="1" ref="A26" ca="1">"In Words:   "&amp;_xll.USD(H24)</f>
        <v>#NAME?</v>
      </c>
      <c r="B26" s="32"/>
    </row>
    <row r="27" spans="1:8">
      <c r="A27" s="7"/>
    </row>
    <row r="28" spans="1:8">
      <c r="A28" s="73" t="s">
        <v>93</v>
      </c>
      <c r="B28" s="74"/>
      <c r="C28" s="74"/>
      <c r="D28" s="74"/>
      <c r="E28" s="74"/>
      <c r="F28" s="74"/>
      <c r="G28" s="74"/>
      <c r="H28" s="74"/>
    </row>
    <row r="29" spans="1:8">
      <c r="A29" s="75" t="str">
        <f>'Sales Contract'!A11</f>
        <v>Bank name: Development Bank of Singapore HONG KONG BRANCH</v>
      </c>
      <c r="B29" s="74"/>
      <c r="C29" s="74"/>
      <c r="D29" s="74"/>
      <c r="E29" s="74"/>
      <c r="F29" s="74"/>
      <c r="G29" s="74"/>
      <c r="H29" s="74"/>
    </row>
    <row r="30" spans="1:8">
      <c r="A30" s="75" t="str">
        <f>'Sales Contract'!A12</f>
        <v>Bank address: 11th Floor, The Center, 99 Queen's Road Central, Central, Hong Kong</v>
      </c>
      <c r="B30" s="74"/>
      <c r="C30" s="74"/>
      <c r="D30" s="74"/>
      <c r="E30" s="74"/>
      <c r="F30" s="74"/>
      <c r="G30" s="74"/>
      <c r="H30" s="74"/>
    </row>
    <row r="31" spans="1:8">
      <c r="A31" s="75" t="str">
        <f>'Sales Contract'!A13</f>
        <v>Account name: GUANGZHOU BIDA TRADING SERVICE CO.,LTD</v>
      </c>
      <c r="B31" s="74"/>
      <c r="C31" s="74"/>
      <c r="D31" s="74"/>
      <c r="E31" s="74"/>
      <c r="F31" s="74"/>
      <c r="G31" s="74"/>
      <c r="H31" s="74"/>
    </row>
    <row r="32" spans="1:8">
      <c r="A32" s="75" t="str">
        <f>'Sales Contract'!A14</f>
        <v>Account number: 79829000348</v>
      </c>
      <c r="B32" s="74"/>
      <c r="C32" s="74"/>
      <c r="D32" s="74"/>
      <c r="E32" s="74"/>
      <c r="F32" s="74"/>
      <c r="G32" s="74"/>
      <c r="H32" s="74"/>
    </row>
    <row r="33" spans="1:8">
      <c r="A33" s="75" t="str">
        <f>'Sales Contract'!A15</f>
        <v>Swift code: DHBKHKHH (DHBKHKHHXXX，If 11 characters are required)</v>
      </c>
      <c r="B33" s="74"/>
      <c r="C33" s="74"/>
      <c r="D33" s="74"/>
      <c r="E33" s="74"/>
      <c r="F33" s="74"/>
      <c r="G33" s="74"/>
      <c r="H33" s="74"/>
    </row>
    <row r="34" spans="1:8" ht="27.75" customHeight="1">
      <c r="A34" s="169" t="str">
        <f>'Sales Contract'!A16</f>
        <v>Benneficiary address: ROOM 902, INDUSTRIAL BUILDING 2, TIAN 'AN SCIENCE PARK, NO. 555 NORTH PANYU AVENUE, PANYU DISTRICT, GUANGZHOU CITY, GUANGDONG PROVINCE, CHINA</v>
      </c>
      <c r="B34" s="169"/>
      <c r="C34" s="169"/>
      <c r="D34" s="169"/>
      <c r="E34" s="169"/>
      <c r="F34" s="169"/>
      <c r="G34" s="169"/>
      <c r="H34" s="169"/>
    </row>
    <row r="35" spans="1:8">
      <c r="A35" s="9"/>
    </row>
    <row r="36" spans="1:8">
      <c r="A36" s="9"/>
    </row>
    <row r="37" spans="1:8">
      <c r="A37" s="10"/>
    </row>
    <row r="38" spans="1:8">
      <c r="A38" s="10"/>
      <c r="F38" s="162" t="s">
        <v>5</v>
      </c>
      <c r="G38" s="162"/>
      <c r="H38" s="162"/>
    </row>
    <row r="39" spans="1:8">
      <c r="A39" s="10"/>
      <c r="G39" s="29"/>
    </row>
    <row r="40" spans="1:8">
      <c r="A40" s="10"/>
      <c r="G40" s="29"/>
    </row>
    <row r="41" spans="1:8">
      <c r="A41" s="10"/>
      <c r="G41" s="29"/>
    </row>
    <row r="42" spans="1:8">
      <c r="A42" s="10"/>
      <c r="G42" s="29"/>
    </row>
    <row r="43" spans="1:8">
      <c r="A43" s="10"/>
      <c r="G43" s="29"/>
    </row>
    <row r="44" spans="1:8">
      <c r="A44" s="10"/>
      <c r="G44" s="29"/>
    </row>
    <row r="45" spans="1:8">
      <c r="A45" s="10"/>
    </row>
    <row r="46" spans="1:8" ht="15.75" thickBot="1">
      <c r="F46" s="45"/>
      <c r="G46" s="45"/>
      <c r="H46" s="45"/>
    </row>
    <row r="47" spans="1:8" ht="15.75" thickTop="1">
      <c r="F47" s="38" t="s">
        <v>81</v>
      </c>
      <c r="G47" s="10"/>
      <c r="H47" s="76" t="s">
        <v>83</v>
      </c>
    </row>
  </sheetData>
  <mergeCells count="13">
    <mergeCell ref="F38:H38"/>
    <mergeCell ref="C1:H1"/>
    <mergeCell ref="C2:H2"/>
    <mergeCell ref="A5:H5"/>
    <mergeCell ref="B22:C22"/>
    <mergeCell ref="B20:C20"/>
    <mergeCell ref="B21:C21"/>
    <mergeCell ref="B19:C19"/>
    <mergeCell ref="B9:F9"/>
    <mergeCell ref="A24:C24"/>
    <mergeCell ref="A34:H34"/>
    <mergeCell ref="A4:H4"/>
    <mergeCell ref="B23:C23"/>
  </mergeCells>
  <printOptions horizontalCentered="1"/>
  <pageMargins left="0.45" right="0.45" top="0.55000000000000004" bottom="0.55000000000000004" header="0" footer="0"/>
  <pageSetup paperSize="9" scale="9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8C2F-EFF9-417C-83E7-8C7958B73693}">
  <sheetPr>
    <pageSetUpPr fitToPage="1"/>
  </sheetPr>
  <dimension ref="A1:J38"/>
  <sheetViews>
    <sheetView workbookViewId="0">
      <selection activeCell="C27" sqref="C27"/>
    </sheetView>
  </sheetViews>
  <sheetFormatPr defaultRowHeight="15"/>
  <cols>
    <col min="1" max="1" width="5.140625" customWidth="1"/>
    <col min="2" max="2" width="13.85546875" customWidth="1"/>
    <col min="3" max="3" width="12" customWidth="1"/>
    <col min="4" max="4" width="21" customWidth="1"/>
    <col min="5" max="5" width="11.85546875" customWidth="1"/>
    <col min="6" max="6" width="8.7109375" bestFit="1" customWidth="1"/>
    <col min="7" max="7" width="9" bestFit="1" customWidth="1"/>
    <col min="8" max="8" width="9.85546875" bestFit="1" customWidth="1"/>
    <col min="9" max="9" width="16.85546875" customWidth="1"/>
  </cols>
  <sheetData>
    <row r="1" spans="1:10" ht="26.25">
      <c r="A1" s="35"/>
      <c r="B1" s="35"/>
      <c r="C1" s="163" t="s">
        <v>5</v>
      </c>
      <c r="D1" s="163"/>
      <c r="E1" s="163"/>
      <c r="F1" s="163"/>
      <c r="G1" s="163"/>
      <c r="H1" s="163"/>
      <c r="I1" s="163"/>
    </row>
    <row r="2" spans="1:10" ht="30" customHeight="1" thickBot="1">
      <c r="A2" s="36"/>
      <c r="B2" s="36"/>
      <c r="C2" s="164" t="s">
        <v>84</v>
      </c>
      <c r="D2" s="164"/>
      <c r="E2" s="164"/>
      <c r="F2" s="164"/>
      <c r="G2" s="164"/>
      <c r="H2" s="164"/>
      <c r="I2" s="164"/>
    </row>
    <row r="4" spans="1:10" ht="26.25">
      <c r="A4" s="170" t="s">
        <v>94</v>
      </c>
      <c r="B4" s="170"/>
      <c r="C4" s="170"/>
      <c r="D4" s="170"/>
      <c r="E4" s="170"/>
      <c r="F4" s="170"/>
      <c r="G4" s="170"/>
      <c r="H4" s="170"/>
      <c r="I4" s="170"/>
    </row>
    <row r="5" spans="1:10">
      <c r="A5" s="156" t="str">
        <f>'Sales Contract'!A2</f>
        <v xml:space="preserve">No. ERK0508024 </v>
      </c>
      <c r="B5" s="156"/>
      <c r="C5" s="156"/>
      <c r="D5" s="156"/>
      <c r="E5" s="156"/>
      <c r="F5" s="156"/>
      <c r="G5" s="156"/>
      <c r="H5" s="156"/>
      <c r="I5" s="156"/>
    </row>
    <row r="6" spans="1:10" ht="15" customHeight="1">
      <c r="A6" s="1"/>
      <c r="B6" s="1"/>
      <c r="C6" s="1"/>
      <c r="D6" s="1"/>
      <c r="E6" s="1"/>
      <c r="F6" s="1"/>
      <c r="G6" s="1"/>
      <c r="H6" s="1"/>
      <c r="I6" s="1"/>
    </row>
    <row r="7" spans="1:10" ht="15" customHeight="1">
      <c r="A7" s="39"/>
      <c r="B7" s="41" t="s">
        <v>4</v>
      </c>
      <c r="C7" s="39"/>
      <c r="D7" s="39"/>
      <c r="E7" s="39"/>
      <c r="F7" s="39"/>
      <c r="H7" s="10" t="s">
        <v>86</v>
      </c>
      <c r="I7" s="40" t="str">
        <f>RIGHT('Sales Contract'!A3,14)</f>
        <v>05th AUG, 2024</v>
      </c>
      <c r="J7" s="30"/>
    </row>
    <row r="8" spans="1:10" ht="15" customHeight="1">
      <c r="A8" s="39"/>
      <c r="B8" s="37" t="str">
        <f>'Sales Contract'!E6</f>
        <v>EUREKA TRADE AND IMPORT EXPORT COMPANY LIMITED</v>
      </c>
      <c r="C8" s="39"/>
      <c r="D8" s="39"/>
      <c r="E8" s="39"/>
      <c r="F8" s="39"/>
      <c r="H8" s="70" t="s">
        <v>26</v>
      </c>
      <c r="I8" s="40" t="str">
        <f>'Sales Contract'!G18</f>
        <v>FOB NANSHA</v>
      </c>
      <c r="J8" s="30"/>
    </row>
    <row r="9" spans="1:10" ht="28.5" customHeight="1">
      <c r="A9" s="39"/>
      <c r="B9" s="168" t="str">
        <f>'Sales Contract'!E7</f>
        <v>Add: No. 3, Alley 56, An Son Lane, Dai La Street, Truong Dinh Ward, Hai Ba Trung District, Hanoi City, Vietnam</v>
      </c>
      <c r="C9" s="168"/>
      <c r="D9" s="168"/>
      <c r="E9" s="168"/>
      <c r="F9" s="168"/>
      <c r="G9" s="39"/>
      <c r="H9" s="39"/>
      <c r="I9" s="39"/>
      <c r="J9" s="30"/>
    </row>
    <row r="10" spans="1:10" ht="15" customHeight="1">
      <c r="A10" s="39"/>
      <c r="B10" s="37" t="str">
        <f>'Sales Contract'!E8</f>
        <v>Tell/Fax: 089.858.6633</v>
      </c>
      <c r="C10" s="120"/>
      <c r="D10" s="39"/>
      <c r="E10" s="39"/>
      <c r="F10" s="39"/>
      <c r="G10" s="39"/>
      <c r="H10" s="39"/>
      <c r="I10" s="39"/>
      <c r="J10" s="30"/>
    </row>
    <row r="11" spans="1:10" ht="15" customHeight="1">
      <c r="A11" s="39"/>
      <c r="B11" s="39"/>
      <c r="C11" s="39"/>
      <c r="D11" s="39"/>
      <c r="E11" s="39"/>
      <c r="F11" s="39"/>
      <c r="G11" s="39"/>
      <c r="H11" s="39"/>
      <c r="I11" s="39"/>
      <c r="J11" s="30"/>
    </row>
    <row r="12" spans="1:10">
      <c r="A12" s="39"/>
      <c r="B12" s="39" t="s">
        <v>87</v>
      </c>
      <c r="C12" s="39" t="s">
        <v>88</v>
      </c>
      <c r="D12" s="72" t="str">
        <f>'Sales Contract'!A30</f>
        <v>100% T/T total amount after B/L issueing</v>
      </c>
      <c r="E12" s="37"/>
      <c r="F12" s="37"/>
      <c r="G12" s="38"/>
      <c r="H12" s="38"/>
      <c r="I12" s="38"/>
      <c r="J12" s="30"/>
    </row>
    <row r="13" spans="1:10" ht="15" customHeight="1">
      <c r="A13" s="6"/>
      <c r="B13" s="71" t="s">
        <v>56</v>
      </c>
      <c r="C13" s="71" t="s">
        <v>88</v>
      </c>
      <c r="D13" s="71" t="s">
        <v>89</v>
      </c>
      <c r="E13" s="6"/>
      <c r="F13" s="6"/>
      <c r="G13" s="6"/>
      <c r="H13" s="6"/>
      <c r="I13" s="6"/>
    </row>
    <row r="14" spans="1:10" ht="15" customHeight="1">
      <c r="A14" s="6"/>
      <c r="B14" s="71" t="s">
        <v>58</v>
      </c>
      <c r="C14" s="71" t="s">
        <v>88</v>
      </c>
      <c r="D14" s="71" t="s">
        <v>89</v>
      </c>
      <c r="E14" s="6"/>
      <c r="F14" s="6"/>
      <c r="I14" s="6"/>
    </row>
    <row r="15" spans="1:10">
      <c r="A15" s="6"/>
      <c r="B15" s="71" t="s">
        <v>90</v>
      </c>
      <c r="C15" s="71" t="s">
        <v>88</v>
      </c>
      <c r="D15" s="71" t="str">
        <f>'Sales Contract'!A32</f>
        <v>Export standard packing</v>
      </c>
      <c r="E15" s="6"/>
      <c r="F15" s="6"/>
      <c r="I15" s="7"/>
    </row>
    <row r="16" spans="1:10" ht="15" customHeight="1">
      <c r="A16" s="6"/>
      <c r="B16" s="71" t="s">
        <v>91</v>
      </c>
      <c r="C16" s="71" t="s">
        <v>88</v>
      </c>
      <c r="D16" s="71" t="str">
        <f>'Sales Contract'!G20</f>
        <v>Made in China</v>
      </c>
      <c r="E16" s="6"/>
      <c r="F16" s="6"/>
      <c r="G16" s="6"/>
      <c r="H16" s="6"/>
      <c r="I16" s="6"/>
    </row>
    <row r="17" spans="1:9" ht="15" customHeight="1">
      <c r="A17" s="6"/>
      <c r="B17" s="71" t="s">
        <v>92</v>
      </c>
      <c r="C17" s="71" t="s">
        <v>88</v>
      </c>
      <c r="D17" s="6"/>
      <c r="E17" s="6"/>
      <c r="F17" s="6"/>
      <c r="G17" s="6"/>
      <c r="H17" s="6"/>
      <c r="I17" s="6"/>
    </row>
    <row r="18" spans="1:9" ht="15" customHeight="1" thickBot="1">
      <c r="A18" s="6"/>
      <c r="B18" s="6"/>
      <c r="C18" s="6"/>
      <c r="D18" s="6"/>
      <c r="E18" s="6"/>
      <c r="F18" s="6"/>
      <c r="G18" s="2"/>
      <c r="H18" s="2"/>
      <c r="I18" s="2"/>
    </row>
    <row r="19" spans="1:9" s="28" customFormat="1" ht="31.5" customHeight="1" thickTop="1" thickBot="1">
      <c r="A19" s="43" t="s">
        <v>31</v>
      </c>
      <c r="B19" s="167" t="s">
        <v>32</v>
      </c>
      <c r="C19" s="167"/>
      <c r="D19" s="44" t="s">
        <v>33</v>
      </c>
      <c r="E19" s="44" t="s">
        <v>34</v>
      </c>
      <c r="F19" s="44" t="s">
        <v>35</v>
      </c>
      <c r="G19" s="44" t="s">
        <v>95</v>
      </c>
      <c r="H19" s="44" t="s">
        <v>96</v>
      </c>
      <c r="I19" s="44" t="s">
        <v>97</v>
      </c>
    </row>
    <row r="20" spans="1:9" ht="15.75" thickTop="1">
      <c r="A20" s="3"/>
      <c r="B20" s="156"/>
      <c r="C20" s="156"/>
      <c r="D20" s="4"/>
      <c r="E20" s="4"/>
      <c r="F20" s="4"/>
      <c r="G20" s="4"/>
      <c r="H20" s="4"/>
      <c r="I20" s="4"/>
    </row>
    <row r="21" spans="1:9">
      <c r="A21" s="11">
        <v>1</v>
      </c>
      <c r="B21" s="171" t="s">
        <v>38</v>
      </c>
      <c r="C21" s="171"/>
      <c r="D21" s="77" t="s">
        <v>39</v>
      </c>
      <c r="E21" s="12" t="s">
        <v>40</v>
      </c>
      <c r="F21" s="12">
        <v>5</v>
      </c>
      <c r="G21" s="13">
        <v>5</v>
      </c>
      <c r="H21" s="121">
        <v>505.7</v>
      </c>
      <c r="I21" s="121">
        <v>15.34</v>
      </c>
    </row>
    <row r="22" spans="1:9">
      <c r="A22" s="15">
        <v>2</v>
      </c>
      <c r="B22" s="172" t="s">
        <v>41</v>
      </c>
      <c r="C22" s="172"/>
      <c r="D22" s="61" t="s">
        <v>42</v>
      </c>
      <c r="E22" s="16" t="s">
        <v>43</v>
      </c>
      <c r="F22" s="16">
        <v>29</v>
      </c>
      <c r="G22" s="61">
        <v>15</v>
      </c>
      <c r="H22" s="61">
        <v>203.11</v>
      </c>
      <c r="I22" s="122">
        <v>6.23</v>
      </c>
    </row>
    <row r="23" spans="1:9">
      <c r="A23" s="15">
        <v>3</v>
      </c>
      <c r="B23" s="165" t="s">
        <v>45</v>
      </c>
      <c r="C23" s="165"/>
      <c r="D23" s="16" t="s">
        <v>46</v>
      </c>
      <c r="E23" s="16" t="s">
        <v>43</v>
      </c>
      <c r="F23" s="16">
        <v>23</v>
      </c>
      <c r="G23" s="61">
        <v>23</v>
      </c>
      <c r="H23" s="61">
        <v>830.59</v>
      </c>
      <c r="I23" s="122">
        <v>8.41</v>
      </c>
    </row>
    <row r="24" spans="1:9" ht="15" customHeight="1">
      <c r="A24" s="147" t="s">
        <v>48</v>
      </c>
      <c r="B24" s="147"/>
      <c r="C24" s="147"/>
      <c r="D24" s="1"/>
      <c r="E24" s="1"/>
      <c r="F24" s="1"/>
      <c r="G24" s="123">
        <f t="shared" ref="G24:H24" si="0">SUM(G21:G23)</f>
        <v>43</v>
      </c>
      <c r="H24" s="123">
        <f t="shared" si="0"/>
        <v>1539.4</v>
      </c>
      <c r="I24" s="123">
        <f>SUM(I21:I23)</f>
        <v>29.98</v>
      </c>
    </row>
    <row r="25" spans="1:9">
      <c r="A25" s="2"/>
      <c r="B25" s="2"/>
      <c r="C25" s="2"/>
      <c r="D25" s="2"/>
      <c r="E25" s="2"/>
      <c r="F25" s="2"/>
      <c r="G25" s="2"/>
      <c r="H25" s="2"/>
      <c r="I25" s="2"/>
    </row>
    <row r="26" spans="1:9">
      <c r="A26" s="9"/>
    </row>
    <row r="27" spans="1:9">
      <c r="A27" s="9"/>
    </row>
    <row r="28" spans="1:9">
      <c r="A28" s="10"/>
    </row>
    <row r="29" spans="1:9">
      <c r="A29" s="10"/>
      <c r="F29" s="162" t="s">
        <v>5</v>
      </c>
      <c r="G29" s="162"/>
      <c r="H29" s="162"/>
      <c r="I29" s="162"/>
    </row>
    <row r="30" spans="1:9">
      <c r="A30" s="10"/>
      <c r="G30" s="29"/>
      <c r="H30" s="29"/>
    </row>
    <row r="31" spans="1:9">
      <c r="A31" s="10"/>
      <c r="G31" s="29"/>
      <c r="H31" s="29"/>
    </row>
    <row r="32" spans="1:9">
      <c r="A32" s="10"/>
      <c r="G32" s="29"/>
      <c r="H32" s="29"/>
    </row>
    <row r="33" spans="1:9">
      <c r="A33" s="10"/>
      <c r="G33" s="29"/>
      <c r="H33" s="29"/>
    </row>
    <row r="34" spans="1:9">
      <c r="A34" s="10"/>
      <c r="G34" s="29"/>
      <c r="H34" s="29"/>
    </row>
    <row r="35" spans="1:9">
      <c r="A35" s="10"/>
      <c r="G35" s="29"/>
      <c r="H35" s="29"/>
    </row>
    <row r="36" spans="1:9">
      <c r="A36" s="10"/>
    </row>
    <row r="37" spans="1:9" ht="15.75" thickBot="1">
      <c r="F37" s="45"/>
      <c r="G37" s="45"/>
      <c r="H37" s="45"/>
      <c r="I37" s="45"/>
    </row>
    <row r="38" spans="1:9" ht="15.75" thickTop="1">
      <c r="F38" s="38" t="s">
        <v>81</v>
      </c>
      <c r="G38" s="10"/>
      <c r="H38" s="10"/>
      <c r="I38" s="76" t="s">
        <v>83</v>
      </c>
    </row>
  </sheetData>
  <mergeCells count="12">
    <mergeCell ref="F29:I29"/>
    <mergeCell ref="B20:C20"/>
    <mergeCell ref="B21:C21"/>
    <mergeCell ref="B22:C22"/>
    <mergeCell ref="B23:C23"/>
    <mergeCell ref="A24:C24"/>
    <mergeCell ref="B19:C19"/>
    <mergeCell ref="C1:I1"/>
    <mergeCell ref="C2:I2"/>
    <mergeCell ref="A4:I4"/>
    <mergeCell ref="A5:I5"/>
    <mergeCell ref="B9:F9"/>
  </mergeCells>
  <printOptions horizontalCentered="1"/>
  <pageMargins left="0.45" right="0.45" top="0.5" bottom="0.5" header="0.3" footer="0.3"/>
  <pageSetup paperSize="9" scale="9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11F1-2157-4EF8-AC31-0CC40D453062}">
  <sheetPr>
    <pageSetUpPr fitToPage="1"/>
  </sheetPr>
  <dimension ref="A1:J44"/>
  <sheetViews>
    <sheetView view="pageBreakPreview" zoomScale="115" zoomScaleNormal="100" zoomScaleSheetLayoutView="115" workbookViewId="0">
      <selection activeCell="P23" sqref="P23"/>
    </sheetView>
  </sheetViews>
  <sheetFormatPr defaultRowHeight="15"/>
  <cols>
    <col min="1" max="1" width="5.28515625" customWidth="1"/>
    <col min="2" max="2" width="16.42578125" customWidth="1"/>
    <col min="3" max="3" width="12.28515625" customWidth="1"/>
    <col min="4" max="4" width="17.7109375" customWidth="1"/>
    <col min="7" max="7" width="10.85546875" customWidth="1"/>
    <col min="8" max="8" width="14.85546875" customWidth="1"/>
    <col min="9" max="9" width="10.42578125" customWidth="1"/>
    <col min="10" max="10" width="14.7109375" customWidth="1"/>
  </cols>
  <sheetData>
    <row r="1" spans="1:10" ht="47.25" customHeight="1" thickBot="1">
      <c r="A1" s="174" t="s">
        <v>85</v>
      </c>
      <c r="B1" s="174"/>
      <c r="C1" s="174"/>
      <c r="D1" s="174"/>
      <c r="E1" s="174"/>
      <c r="F1" s="174"/>
      <c r="G1" s="174"/>
      <c r="H1" s="34"/>
      <c r="I1" s="186"/>
      <c r="J1" s="186"/>
    </row>
    <row r="2" spans="1:10" ht="15" customHeight="1">
      <c r="A2" s="192" t="s">
        <v>3</v>
      </c>
      <c r="B2" s="192"/>
      <c r="C2" s="192"/>
      <c r="D2" s="192"/>
      <c r="E2" s="192"/>
      <c r="F2" s="192"/>
      <c r="G2" s="46" t="s">
        <v>68</v>
      </c>
      <c r="H2" s="47" t="s">
        <v>98</v>
      </c>
      <c r="I2" s="5"/>
      <c r="J2" s="5"/>
    </row>
    <row r="3" spans="1:10" ht="15" customHeight="1">
      <c r="A3" s="186" t="s">
        <v>5</v>
      </c>
      <c r="B3" s="186"/>
      <c r="C3" s="186"/>
      <c r="D3" s="186"/>
      <c r="E3" s="186"/>
      <c r="F3" s="186"/>
      <c r="G3" s="23" t="s">
        <v>86</v>
      </c>
      <c r="H3" s="6" t="s">
        <v>99</v>
      </c>
      <c r="I3" s="2"/>
      <c r="J3" s="2"/>
    </row>
    <row r="4" spans="1:10" ht="33.75" customHeight="1">
      <c r="A4" s="188" t="s">
        <v>7</v>
      </c>
      <c r="B4" s="188"/>
      <c r="C4" s="188"/>
      <c r="D4" s="188"/>
      <c r="E4" s="188"/>
      <c r="F4" s="188"/>
      <c r="G4" s="190"/>
      <c r="H4" s="191"/>
      <c r="I4" s="185"/>
      <c r="J4" s="185"/>
    </row>
    <row r="5" spans="1:10" ht="15" customHeight="1">
      <c r="A5" s="186" t="s">
        <v>100</v>
      </c>
      <c r="B5" s="193"/>
      <c r="C5" s="193"/>
      <c r="D5" s="193"/>
      <c r="E5" s="193"/>
      <c r="F5" s="193"/>
      <c r="G5" s="21" t="s">
        <v>101</v>
      </c>
      <c r="H5" s="18"/>
      <c r="I5" s="5"/>
      <c r="J5" s="5"/>
    </row>
    <row r="6" spans="1:10">
      <c r="A6" s="186" t="s">
        <v>102</v>
      </c>
      <c r="B6" s="186"/>
      <c r="C6" s="186"/>
      <c r="D6" s="186"/>
      <c r="E6" s="186"/>
      <c r="F6" s="186"/>
      <c r="G6" s="20"/>
      <c r="H6" s="19"/>
      <c r="I6" s="5"/>
      <c r="J6" s="5"/>
    </row>
    <row r="7" spans="1:10" ht="15" customHeight="1">
      <c r="A7" s="181" t="s">
        <v>4</v>
      </c>
      <c r="B7" s="181"/>
      <c r="C7" s="181"/>
      <c r="D7" s="181"/>
      <c r="E7" s="181"/>
      <c r="F7" s="182"/>
      <c r="G7" s="5" t="s">
        <v>22</v>
      </c>
      <c r="H7" s="2" t="s">
        <v>23</v>
      </c>
      <c r="I7" s="5"/>
      <c r="J7" s="5"/>
    </row>
    <row r="8" spans="1:10" ht="15" customHeight="1">
      <c r="A8" s="186" t="s">
        <v>6</v>
      </c>
      <c r="B8" s="186"/>
      <c r="C8" s="186"/>
      <c r="D8" s="186"/>
      <c r="E8" s="186"/>
      <c r="F8" s="187"/>
      <c r="G8" s="5" t="s">
        <v>26</v>
      </c>
      <c r="H8" s="6" t="s">
        <v>103</v>
      </c>
      <c r="I8" s="2"/>
      <c r="J8" s="2"/>
    </row>
    <row r="9" spans="1:10" ht="30" customHeight="1">
      <c r="A9" s="188" t="s">
        <v>8</v>
      </c>
      <c r="B9" s="188"/>
      <c r="C9" s="188"/>
      <c r="D9" s="188"/>
      <c r="E9" s="188"/>
      <c r="F9" s="189"/>
      <c r="G9" s="176"/>
      <c r="H9" s="176"/>
      <c r="I9" s="176"/>
      <c r="J9" s="176"/>
    </row>
    <row r="10" spans="1:10" ht="15" customHeight="1">
      <c r="A10" s="186" t="s">
        <v>104</v>
      </c>
      <c r="B10" s="186"/>
      <c r="C10" s="186"/>
      <c r="D10" s="186"/>
      <c r="E10" s="186"/>
      <c r="F10" s="187"/>
      <c r="I10" s="2"/>
      <c r="J10" s="2"/>
    </row>
    <row r="11" spans="1:10" ht="15" customHeight="1">
      <c r="A11" s="171" t="s">
        <v>105</v>
      </c>
      <c r="B11" s="171"/>
      <c r="C11" s="171"/>
      <c r="D11" s="171"/>
      <c r="E11" s="171"/>
      <c r="F11" s="175"/>
      <c r="G11" s="5"/>
      <c r="H11" s="6"/>
      <c r="I11" s="2"/>
      <c r="J11" s="2"/>
    </row>
    <row r="12" spans="1:10" ht="15" customHeight="1">
      <c r="A12" s="181" t="s">
        <v>106</v>
      </c>
      <c r="B12" s="181"/>
      <c r="C12" s="181"/>
      <c r="D12" s="181"/>
      <c r="E12" s="181"/>
      <c r="F12" s="182"/>
      <c r="G12" s="185"/>
      <c r="H12" s="185"/>
      <c r="I12" s="185"/>
      <c r="J12" s="185"/>
    </row>
    <row r="13" spans="1:10">
      <c r="A13" s="183" t="s">
        <v>107</v>
      </c>
      <c r="B13" s="183"/>
      <c r="C13" s="183"/>
      <c r="D13" s="183"/>
      <c r="E13" s="183"/>
      <c r="F13" s="184"/>
      <c r="G13" s="185"/>
      <c r="H13" s="185"/>
      <c r="I13" s="185"/>
      <c r="J13" s="185"/>
    </row>
    <row r="14" spans="1:10" ht="15" customHeight="1">
      <c r="A14" s="52" t="s">
        <v>108</v>
      </c>
      <c r="B14" s="22"/>
      <c r="C14" s="50"/>
      <c r="D14" s="52" t="s">
        <v>109</v>
      </c>
      <c r="E14" s="22"/>
      <c r="F14" s="24"/>
      <c r="G14" s="185"/>
      <c r="H14" s="185"/>
      <c r="I14" s="185"/>
      <c r="J14" s="185"/>
    </row>
    <row r="15" spans="1:10" ht="15.75" thickBot="1">
      <c r="A15" s="62" t="s">
        <v>110</v>
      </c>
      <c r="B15" s="25"/>
      <c r="C15" s="51"/>
      <c r="D15" s="54" t="s">
        <v>111</v>
      </c>
      <c r="E15" s="25"/>
      <c r="F15" s="26"/>
      <c r="G15" s="185"/>
      <c r="H15" s="185"/>
      <c r="I15" s="185"/>
      <c r="J15" s="185"/>
    </row>
    <row r="16" spans="1:10" ht="15" customHeight="1">
      <c r="A16" s="42" t="s">
        <v>112</v>
      </c>
      <c r="B16" s="22"/>
      <c r="C16" s="50"/>
      <c r="D16" s="42" t="s">
        <v>113</v>
      </c>
      <c r="E16" s="42"/>
      <c r="F16" s="53"/>
      <c r="G16" s="185"/>
      <c r="H16" s="185"/>
      <c r="I16" s="185"/>
      <c r="J16" s="185"/>
    </row>
    <row r="17" spans="1:10" ht="15.75" thickBot="1">
      <c r="A17" s="6" t="s">
        <v>114</v>
      </c>
      <c r="B17" s="7"/>
      <c r="C17" s="27"/>
      <c r="D17" s="6" t="s">
        <v>115</v>
      </c>
      <c r="E17" s="7"/>
      <c r="F17" s="27"/>
      <c r="G17" s="185"/>
      <c r="H17" s="185"/>
      <c r="I17" s="185"/>
      <c r="J17" s="185"/>
    </row>
    <row r="18" spans="1:10" s="28" customFormat="1" ht="30.75" customHeight="1" thickTop="1">
      <c r="A18" s="57" t="s">
        <v>31</v>
      </c>
      <c r="B18" s="177" t="s">
        <v>32</v>
      </c>
      <c r="C18" s="177"/>
      <c r="D18" s="58" t="s">
        <v>33</v>
      </c>
      <c r="E18" s="58" t="s">
        <v>34</v>
      </c>
      <c r="F18" s="58" t="s">
        <v>35</v>
      </c>
      <c r="G18" s="58" t="s">
        <v>36</v>
      </c>
      <c r="H18" s="58" t="s">
        <v>37</v>
      </c>
      <c r="I18" s="4"/>
      <c r="J18" s="4"/>
    </row>
    <row r="19" spans="1:10">
      <c r="A19" s="3"/>
      <c r="B19" s="156"/>
      <c r="C19" s="156"/>
      <c r="D19" s="4"/>
      <c r="E19" s="4"/>
      <c r="F19" s="55"/>
      <c r="G19" s="55"/>
      <c r="H19" s="55"/>
      <c r="I19" s="55"/>
      <c r="J19" s="4"/>
    </row>
    <row r="20" spans="1:10">
      <c r="A20" s="11">
        <v>1</v>
      </c>
      <c r="B20" s="180" t="s">
        <v>38</v>
      </c>
      <c r="C20" s="180"/>
      <c r="D20" s="14"/>
      <c r="E20" s="12" t="s">
        <v>40</v>
      </c>
      <c r="F20" s="12">
        <v>5</v>
      </c>
      <c r="G20" s="13">
        <v>67100</v>
      </c>
      <c r="H20" s="13">
        <v>335500</v>
      </c>
      <c r="I20" s="63"/>
    </row>
    <row r="21" spans="1:10">
      <c r="A21" s="3">
        <v>2</v>
      </c>
      <c r="B21" s="178" t="s">
        <v>41</v>
      </c>
      <c r="C21" s="178"/>
      <c r="D21" s="4"/>
      <c r="E21" s="1" t="s">
        <v>43</v>
      </c>
      <c r="F21" s="1">
        <v>29</v>
      </c>
      <c r="G21" s="61" t="s">
        <v>44</v>
      </c>
      <c r="H21" s="59">
        <v>156600</v>
      </c>
      <c r="I21" s="64"/>
    </row>
    <row r="22" spans="1:10">
      <c r="A22" s="15">
        <v>3</v>
      </c>
      <c r="B22" s="179" t="s">
        <v>45</v>
      </c>
      <c r="C22" s="179"/>
      <c r="D22" s="16" t="s">
        <v>46</v>
      </c>
      <c r="E22" s="16" t="s">
        <v>43</v>
      </c>
      <c r="F22" s="16">
        <v>23</v>
      </c>
      <c r="G22" s="61" t="s">
        <v>47</v>
      </c>
      <c r="H22" s="17">
        <v>96600</v>
      </c>
      <c r="I22" s="64"/>
    </row>
    <row r="23" spans="1:10" s="31" customFormat="1" ht="15" customHeight="1">
      <c r="A23" s="176" t="s">
        <v>48</v>
      </c>
      <c r="B23" s="176"/>
      <c r="C23" s="176"/>
      <c r="D23" s="3"/>
      <c r="E23" s="3"/>
      <c r="F23" s="5"/>
      <c r="G23" s="56" t="s">
        <v>49</v>
      </c>
      <c r="H23" s="60">
        <f>SUM(H20:H22)</f>
        <v>588700</v>
      </c>
      <c r="I23" s="55"/>
    </row>
    <row r="24" spans="1:10">
      <c r="A24" s="2"/>
      <c r="B24" s="2"/>
      <c r="C24" s="2"/>
      <c r="D24" s="2"/>
      <c r="E24" s="2"/>
      <c r="F24" s="2"/>
      <c r="G24" s="2"/>
      <c r="H24" s="2"/>
      <c r="I24" s="2"/>
      <c r="J24" s="2"/>
    </row>
    <row r="25" spans="1:10">
      <c r="A25" s="33" t="str" cm="1">
        <f t="array" ref="A25">"In Words:   "&amp;_xll.USD(H23)</f>
        <v>In Words:   Five hundred and eighty eight thousand seven hundred dollars only.</v>
      </c>
    </row>
    <row r="26" spans="1:10">
      <c r="A26" s="7"/>
    </row>
    <row r="27" spans="1:10">
      <c r="A27" s="8" t="s">
        <v>93</v>
      </c>
    </row>
    <row r="28" spans="1:10">
      <c r="A28" s="9" t="s">
        <v>14</v>
      </c>
    </row>
    <row r="29" spans="1:10">
      <c r="A29" s="9" t="s">
        <v>15</v>
      </c>
    </row>
    <row r="30" spans="1:10">
      <c r="A30" s="9" t="s">
        <v>16</v>
      </c>
    </row>
    <row r="31" spans="1:10">
      <c r="A31" s="9" t="s">
        <v>17</v>
      </c>
    </row>
    <row r="32" spans="1:10">
      <c r="A32" s="9" t="s">
        <v>116</v>
      </c>
    </row>
    <row r="33" spans="1:8" ht="27.75" customHeight="1">
      <c r="A33" s="173" t="s">
        <v>117</v>
      </c>
      <c r="B33" s="173"/>
      <c r="C33" s="173"/>
      <c r="D33" s="173"/>
      <c r="E33" s="173"/>
      <c r="F33" s="173"/>
      <c r="G33" s="173"/>
      <c r="H33" s="173"/>
    </row>
    <row r="34" spans="1:8">
      <c r="A34" s="9"/>
    </row>
    <row r="35" spans="1:8">
      <c r="E35" s="31" t="s">
        <v>5</v>
      </c>
      <c r="F35" s="65"/>
    </row>
    <row r="36" spans="1:8">
      <c r="E36" s="31"/>
      <c r="F36" s="65"/>
    </row>
    <row r="37" spans="1:8">
      <c r="E37" s="31"/>
      <c r="F37" s="65"/>
    </row>
    <row r="38" spans="1:8">
      <c r="E38" s="31"/>
      <c r="F38" s="65"/>
    </row>
    <row r="39" spans="1:8">
      <c r="E39" s="31"/>
      <c r="F39" s="65"/>
    </row>
    <row r="40" spans="1:8">
      <c r="A40" s="10"/>
    </row>
    <row r="41" spans="1:8">
      <c r="A41" s="10"/>
    </row>
    <row r="42" spans="1:8">
      <c r="A42" s="10"/>
    </row>
    <row r="43" spans="1:8" ht="15.75" thickBot="1"/>
    <row r="44" spans="1:8" ht="15.75" thickTop="1">
      <c r="E44" s="66" t="s">
        <v>81</v>
      </c>
      <c r="F44" s="67"/>
      <c r="G44" s="67"/>
      <c r="H44" s="68" t="s">
        <v>83</v>
      </c>
    </row>
  </sheetData>
  <mergeCells count="29">
    <mergeCell ref="A6:F6"/>
    <mergeCell ref="G4:J4"/>
    <mergeCell ref="A7:F7"/>
    <mergeCell ref="I1:J1"/>
    <mergeCell ref="A2:F2"/>
    <mergeCell ref="A3:F3"/>
    <mergeCell ref="A4:F4"/>
    <mergeCell ref="A5:F5"/>
    <mergeCell ref="G17:J17"/>
    <mergeCell ref="A8:F8"/>
    <mergeCell ref="A9:F9"/>
    <mergeCell ref="A10:F10"/>
    <mergeCell ref="G9:J9"/>
    <mergeCell ref="A33:H33"/>
    <mergeCell ref="A1:G1"/>
    <mergeCell ref="A11:F11"/>
    <mergeCell ref="A23:C23"/>
    <mergeCell ref="B18:C18"/>
    <mergeCell ref="B21:C21"/>
    <mergeCell ref="B22:C22"/>
    <mergeCell ref="B19:C19"/>
    <mergeCell ref="B20:C20"/>
    <mergeCell ref="A12:F12"/>
    <mergeCell ref="A13:F13"/>
    <mergeCell ref="G12:J12"/>
    <mergeCell ref="G13:J13"/>
    <mergeCell ref="G14:J14"/>
    <mergeCell ref="G15:J15"/>
    <mergeCell ref="G16:J16"/>
  </mergeCells>
  <printOptions horizontalCentered="1"/>
  <pageMargins left="0.2" right="0.2" top="0.25" bottom="0.2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0F8B9-4707-440F-AFF4-EFF6C0584DBD}">
  <dimension ref="A1:F12"/>
  <sheetViews>
    <sheetView workbookViewId="0">
      <selection activeCell="J10" sqref="J10"/>
    </sheetView>
  </sheetViews>
  <sheetFormatPr defaultRowHeight="15"/>
  <sheetData>
    <row r="1" spans="1:6" ht="26.25">
      <c r="A1" s="124"/>
      <c r="B1" s="124"/>
      <c r="C1" s="125" t="s">
        <v>118</v>
      </c>
      <c r="D1" s="126"/>
      <c r="E1" s="127"/>
      <c r="F1" s="124"/>
    </row>
    <row r="2" spans="1:6">
      <c r="A2" s="128"/>
      <c r="B2" s="128"/>
      <c r="C2" s="128"/>
      <c r="D2" s="128"/>
      <c r="E2" s="128"/>
      <c r="F2" s="128"/>
    </row>
    <row r="3" spans="1:6">
      <c r="A3" s="128" t="s">
        <v>119</v>
      </c>
      <c r="B3" s="128"/>
      <c r="C3" s="128"/>
      <c r="D3" s="128"/>
      <c r="E3" s="128"/>
      <c r="F3" s="128"/>
    </row>
    <row r="4" spans="1:6">
      <c r="A4" s="128" t="s">
        <v>120</v>
      </c>
      <c r="B4" s="128"/>
      <c r="C4" s="128"/>
      <c r="D4" s="128"/>
      <c r="E4" s="128"/>
      <c r="F4" s="128"/>
    </row>
    <row r="5" spans="1:6" ht="15.75">
      <c r="A5" s="128" t="s">
        <v>121</v>
      </c>
      <c r="B5" s="128"/>
      <c r="C5" s="128"/>
      <c r="D5" s="128"/>
      <c r="E5" s="128"/>
      <c r="F5" s="128"/>
    </row>
    <row r="6" spans="1:6">
      <c r="A6" s="128" t="s">
        <v>122</v>
      </c>
      <c r="B6" s="128"/>
      <c r="C6" s="128"/>
      <c r="D6" s="128"/>
      <c r="E6" s="128"/>
      <c r="F6" s="128"/>
    </row>
    <row r="7" spans="1:6">
      <c r="A7" s="129" t="s">
        <v>123</v>
      </c>
      <c r="B7" s="129"/>
      <c r="C7" s="129"/>
      <c r="D7" s="129"/>
      <c r="E7" s="129"/>
      <c r="F7" s="128"/>
    </row>
    <row r="8" spans="1:6">
      <c r="A8" s="130"/>
      <c r="B8" s="128"/>
      <c r="C8" s="128"/>
      <c r="D8" s="128"/>
      <c r="E8" s="128"/>
      <c r="F8" s="128"/>
    </row>
    <row r="9" spans="1:6">
      <c r="A9" s="130"/>
      <c r="B9" s="128"/>
      <c r="C9" s="128"/>
      <c r="D9" s="128"/>
      <c r="E9" s="128"/>
      <c r="F9" s="128"/>
    </row>
    <row r="10" spans="1:6">
      <c r="A10" s="130"/>
      <c r="B10" s="128"/>
      <c r="C10" s="128"/>
      <c r="D10" s="128"/>
      <c r="E10" s="128"/>
      <c r="F10" s="128"/>
    </row>
    <row r="11" spans="1:6" ht="20.25">
      <c r="A11" s="124"/>
      <c r="B11" s="124"/>
      <c r="C11" s="124"/>
      <c r="D11" s="131" t="s">
        <v>124</v>
      </c>
      <c r="E11" s="132"/>
      <c r="F11" s="132"/>
    </row>
    <row r="12" spans="1:6" ht="15" customHeight="1">
      <c r="A12" s="124"/>
      <c r="B12" s="124"/>
      <c r="C12" s="131"/>
      <c r="D12" s="194">
        <v>45820</v>
      </c>
      <c r="E12" s="195"/>
      <c r="F12" s="126"/>
    </row>
  </sheetData>
  <mergeCells count="1">
    <mergeCell ref="D12:E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8A368-83EE-4567-BD58-13942BD686BF}">
  <dimension ref="A1:M18"/>
  <sheetViews>
    <sheetView workbookViewId="0">
      <selection activeCell="H23" sqref="H23"/>
    </sheetView>
  </sheetViews>
  <sheetFormatPr defaultRowHeight="15"/>
  <sheetData>
    <row r="1" spans="1:13" ht="21">
      <c r="A1" s="201" t="s">
        <v>125</v>
      </c>
      <c r="B1" s="202"/>
      <c r="C1" s="202"/>
      <c r="D1" s="202"/>
      <c r="E1" s="202"/>
      <c r="F1" s="202"/>
      <c r="G1" s="202"/>
      <c r="H1" s="202"/>
      <c r="I1" s="202"/>
      <c r="J1" s="202"/>
      <c r="K1" s="202"/>
      <c r="L1" s="202"/>
      <c r="M1" s="203"/>
    </row>
    <row r="2" spans="1:13" ht="15" customHeight="1">
      <c r="A2" s="204" t="s">
        <v>126</v>
      </c>
      <c r="B2" s="205"/>
      <c r="C2" s="204" t="s">
        <v>127</v>
      </c>
      <c r="D2" s="205"/>
      <c r="E2" s="205"/>
      <c r="F2" s="206"/>
      <c r="G2" s="205" t="s">
        <v>128</v>
      </c>
      <c r="H2" s="205"/>
      <c r="I2" s="205"/>
      <c r="J2" s="205"/>
      <c r="K2" s="133" t="s">
        <v>129</v>
      </c>
      <c r="L2" s="204" t="s">
        <v>130</v>
      </c>
      <c r="M2" s="206"/>
    </row>
    <row r="3" spans="1:13" ht="15" customHeight="1">
      <c r="A3" s="196" t="s">
        <v>131</v>
      </c>
      <c r="B3" s="197"/>
      <c r="C3" s="198" t="s">
        <v>132</v>
      </c>
      <c r="D3" s="199"/>
      <c r="E3" s="199"/>
      <c r="F3" s="200"/>
      <c r="G3" s="199" t="s">
        <v>132</v>
      </c>
      <c r="H3" s="199"/>
      <c r="I3" s="199"/>
      <c r="J3" s="199"/>
      <c r="K3" s="134" t="s">
        <v>132</v>
      </c>
      <c r="L3" s="198" t="s">
        <v>132</v>
      </c>
      <c r="M3" s="200"/>
    </row>
    <row r="4" spans="1:13">
      <c r="A4" s="204" t="s">
        <v>133</v>
      </c>
      <c r="B4" s="206"/>
      <c r="C4" s="205" t="s">
        <v>134</v>
      </c>
      <c r="D4" s="205"/>
      <c r="E4" s="205"/>
      <c r="F4" s="206"/>
      <c r="G4" s="205" t="s">
        <v>135</v>
      </c>
      <c r="H4" s="205"/>
      <c r="I4" s="205"/>
      <c r="J4" s="205"/>
      <c r="K4" s="204" t="s">
        <v>136</v>
      </c>
      <c r="L4" s="205"/>
      <c r="M4" s="206"/>
    </row>
    <row r="5" spans="1:13">
      <c r="A5" s="198" t="s">
        <v>137</v>
      </c>
      <c r="B5" s="200"/>
      <c r="C5" s="199" t="s">
        <v>138</v>
      </c>
      <c r="D5" s="199"/>
      <c r="E5" s="199"/>
      <c r="F5" s="200"/>
      <c r="G5" s="199" t="s">
        <v>132</v>
      </c>
      <c r="H5" s="199"/>
      <c r="I5" s="199"/>
      <c r="J5" s="199"/>
      <c r="K5" s="198" t="s">
        <v>132</v>
      </c>
      <c r="L5" s="199"/>
      <c r="M5" s="200"/>
    </row>
    <row r="6" spans="1:13">
      <c r="A6" s="204" t="s">
        <v>139</v>
      </c>
      <c r="B6" s="206"/>
      <c r="C6" s="205" t="s">
        <v>140</v>
      </c>
      <c r="D6" s="205"/>
      <c r="E6" s="205"/>
      <c r="F6" s="206"/>
      <c r="G6" s="205" t="s">
        <v>141</v>
      </c>
      <c r="H6" s="205"/>
      <c r="I6" s="205"/>
      <c r="J6" s="206"/>
      <c r="K6" s="205" t="s">
        <v>142</v>
      </c>
      <c r="L6" s="205"/>
      <c r="M6" s="206"/>
    </row>
    <row r="7" spans="1:13">
      <c r="A7" s="198" t="s">
        <v>143</v>
      </c>
      <c r="B7" s="200"/>
      <c r="C7" s="199" t="s">
        <v>144</v>
      </c>
      <c r="D7" s="199"/>
      <c r="E7" s="199"/>
      <c r="F7" s="200"/>
      <c r="G7" s="199" t="s">
        <v>145</v>
      </c>
      <c r="H7" s="199"/>
      <c r="I7" s="199"/>
      <c r="J7" s="200"/>
      <c r="K7" s="197" t="s">
        <v>132</v>
      </c>
      <c r="L7" s="197"/>
      <c r="M7" s="207"/>
    </row>
    <row r="8" spans="1:13" ht="15" customHeight="1">
      <c r="A8" s="204" t="s">
        <v>146</v>
      </c>
      <c r="B8" s="206"/>
      <c r="C8" s="205" t="s">
        <v>147</v>
      </c>
      <c r="D8" s="205"/>
      <c r="E8" s="205"/>
      <c r="F8" s="206"/>
      <c r="G8" s="205" t="s">
        <v>148</v>
      </c>
      <c r="H8" s="205"/>
      <c r="I8" s="205"/>
      <c r="J8" s="205"/>
      <c r="K8" s="133" t="s">
        <v>149</v>
      </c>
      <c r="L8" s="208" t="s">
        <v>150</v>
      </c>
      <c r="M8" s="209"/>
    </row>
    <row r="9" spans="1:13" ht="15" customHeight="1">
      <c r="A9" s="198" t="s">
        <v>132</v>
      </c>
      <c r="B9" s="200"/>
      <c r="C9" s="210" t="s">
        <v>151</v>
      </c>
      <c r="D9" s="210"/>
      <c r="E9" s="210"/>
      <c r="F9" s="211"/>
      <c r="G9" s="212" t="s">
        <v>152</v>
      </c>
      <c r="H9" s="212"/>
      <c r="I9" s="212"/>
      <c r="J9" s="213"/>
      <c r="K9" s="136" t="s">
        <v>152</v>
      </c>
      <c r="L9" s="214" t="s">
        <v>132</v>
      </c>
      <c r="M9" s="215"/>
    </row>
    <row r="10" spans="1:13" ht="15" customHeight="1">
      <c r="A10" s="204" t="s">
        <v>153</v>
      </c>
      <c r="B10" s="205"/>
      <c r="C10" s="134" t="s">
        <v>154</v>
      </c>
      <c r="D10" s="204" t="s">
        <v>155</v>
      </c>
      <c r="E10" s="205"/>
      <c r="F10" s="206"/>
      <c r="G10" s="205" t="s">
        <v>156</v>
      </c>
      <c r="H10" s="205"/>
      <c r="I10" s="206"/>
      <c r="J10" s="137" t="s">
        <v>157</v>
      </c>
      <c r="K10" s="137" t="s">
        <v>158</v>
      </c>
      <c r="L10" s="137" t="s">
        <v>159</v>
      </c>
      <c r="M10" s="137" t="s">
        <v>160</v>
      </c>
    </row>
    <row r="11" spans="1:13">
      <c r="A11" s="198" t="s">
        <v>161</v>
      </c>
      <c r="B11" s="199"/>
      <c r="C11" s="135">
        <v>40</v>
      </c>
      <c r="D11" s="198">
        <v>573.20000000000005</v>
      </c>
      <c r="E11" s="199"/>
      <c r="F11" s="200"/>
      <c r="G11" s="199">
        <v>446</v>
      </c>
      <c r="H11" s="199"/>
      <c r="I11" s="200"/>
      <c r="J11" s="138" t="s">
        <v>162</v>
      </c>
      <c r="K11" s="138" t="s">
        <v>132</v>
      </c>
      <c r="L11" s="138" t="s">
        <v>132</v>
      </c>
      <c r="M11" s="138" t="s">
        <v>132</v>
      </c>
    </row>
    <row r="12" spans="1:13">
      <c r="A12" s="216" t="s">
        <v>163</v>
      </c>
      <c r="B12" s="217"/>
      <c r="C12" s="217"/>
      <c r="D12" s="217"/>
      <c r="E12" s="217"/>
      <c r="F12" s="217"/>
      <c r="G12" s="217"/>
      <c r="H12" s="217"/>
      <c r="I12" s="217"/>
      <c r="J12" s="217"/>
      <c r="K12" s="217"/>
      <c r="L12" s="217"/>
      <c r="M12" s="218"/>
    </row>
    <row r="13" spans="1:13">
      <c r="A13" s="216" t="s">
        <v>164</v>
      </c>
      <c r="B13" s="217"/>
      <c r="C13" s="217"/>
      <c r="D13" s="217"/>
      <c r="E13" s="217"/>
      <c r="F13" s="217"/>
      <c r="G13" s="217"/>
      <c r="H13" s="217"/>
      <c r="I13" s="217"/>
      <c r="J13" s="217"/>
      <c r="K13" s="217"/>
      <c r="L13" s="217"/>
      <c r="M13" s="218"/>
    </row>
    <row r="14" spans="1:13" ht="15" customHeight="1">
      <c r="A14" s="140" t="s">
        <v>165</v>
      </c>
      <c r="B14" s="138" t="s">
        <v>166</v>
      </c>
      <c r="C14" s="217" t="s">
        <v>167</v>
      </c>
      <c r="D14" s="219"/>
      <c r="E14" s="205" t="s">
        <v>168</v>
      </c>
      <c r="F14" s="206"/>
      <c r="G14" s="138" t="s">
        <v>169</v>
      </c>
      <c r="H14" s="138" t="s">
        <v>170</v>
      </c>
      <c r="I14" s="138" t="s">
        <v>171</v>
      </c>
      <c r="J14" s="138" t="s">
        <v>172</v>
      </c>
      <c r="K14" s="141" t="s">
        <v>173</v>
      </c>
      <c r="L14" s="141" t="s">
        <v>174</v>
      </c>
      <c r="M14" s="138" t="s">
        <v>175</v>
      </c>
    </row>
    <row r="15" spans="1:13">
      <c r="A15" s="140">
        <v>1</v>
      </c>
      <c r="B15" s="138">
        <v>8414200000999</v>
      </c>
      <c r="C15" s="217" t="s">
        <v>176</v>
      </c>
      <c r="D15" s="219"/>
      <c r="E15" s="139">
        <v>400</v>
      </c>
      <c r="F15" s="139" t="s">
        <v>177</v>
      </c>
      <c r="G15" s="138">
        <v>8.49</v>
      </c>
      <c r="H15" s="138">
        <v>3396</v>
      </c>
      <c r="I15" s="138" t="s">
        <v>49</v>
      </c>
      <c r="J15" s="138" t="s">
        <v>178</v>
      </c>
      <c r="K15" s="142" t="s">
        <v>152</v>
      </c>
      <c r="L15" s="141" t="s">
        <v>179</v>
      </c>
      <c r="M15" s="138" t="s">
        <v>132</v>
      </c>
    </row>
    <row r="16" spans="1:13">
      <c r="A16" s="220" t="s">
        <v>180</v>
      </c>
      <c r="B16" s="221"/>
      <c r="C16" s="221"/>
      <c r="D16" s="221"/>
      <c r="E16" s="221"/>
      <c r="F16" s="221"/>
      <c r="G16" s="221"/>
      <c r="H16" s="221"/>
      <c r="I16" s="221"/>
      <c r="J16" s="221"/>
      <c r="K16" s="221"/>
      <c r="L16" s="221"/>
      <c r="M16" s="222"/>
    </row>
    <row r="17" spans="1:13">
      <c r="A17" s="205" t="s">
        <v>181</v>
      </c>
      <c r="B17" s="205"/>
      <c r="C17" s="205"/>
      <c r="D17" s="205"/>
      <c r="E17" s="205"/>
      <c r="F17" s="205"/>
      <c r="G17" s="205"/>
      <c r="H17" s="205"/>
      <c r="I17" s="205"/>
      <c r="J17" s="205"/>
      <c r="K17" s="205" t="s">
        <v>182</v>
      </c>
      <c r="L17" s="205"/>
      <c r="M17" s="206"/>
    </row>
    <row r="18" spans="1:13">
      <c r="A18" s="143" t="s">
        <v>183</v>
      </c>
      <c r="B18" s="144"/>
      <c r="C18" s="144"/>
      <c r="D18" s="144"/>
      <c r="E18" s="144"/>
      <c r="F18" s="144"/>
      <c r="G18" s="144"/>
      <c r="H18" s="144"/>
      <c r="I18" s="143" t="s">
        <v>132</v>
      </c>
      <c r="J18" s="143" t="s">
        <v>132</v>
      </c>
      <c r="K18" s="143" t="s">
        <v>132</v>
      </c>
      <c r="L18" s="143" t="s">
        <v>132</v>
      </c>
      <c r="M18" s="145" t="s">
        <v>132</v>
      </c>
    </row>
  </sheetData>
  <mergeCells count="47">
    <mergeCell ref="A17:J17"/>
    <mergeCell ref="K17:M17"/>
    <mergeCell ref="A12:M12"/>
    <mergeCell ref="A13:M13"/>
    <mergeCell ref="C14:D14"/>
    <mergeCell ref="E14:F14"/>
    <mergeCell ref="C15:D15"/>
    <mergeCell ref="A16:M16"/>
    <mergeCell ref="A10:B10"/>
    <mergeCell ref="D10:F10"/>
    <mergeCell ref="G10:I10"/>
    <mergeCell ref="A11:B11"/>
    <mergeCell ref="D11:F11"/>
    <mergeCell ref="G11:I11"/>
    <mergeCell ref="A8:B8"/>
    <mergeCell ref="C8:F8"/>
    <mergeCell ref="G8:J8"/>
    <mergeCell ref="L8:M8"/>
    <mergeCell ref="A9:B9"/>
    <mergeCell ref="C9:F9"/>
    <mergeCell ref="G9:J9"/>
    <mergeCell ref="L9:M9"/>
    <mergeCell ref="A6:B6"/>
    <mergeCell ref="C6:F6"/>
    <mergeCell ref="G6:J6"/>
    <mergeCell ref="K6:M6"/>
    <mergeCell ref="A7:B7"/>
    <mergeCell ref="C7:F7"/>
    <mergeCell ref="G7:J7"/>
    <mergeCell ref="K7:M7"/>
    <mergeCell ref="A4:B4"/>
    <mergeCell ref="C4:F4"/>
    <mergeCell ref="G4:J4"/>
    <mergeCell ref="K4:M4"/>
    <mergeCell ref="A5:B5"/>
    <mergeCell ref="C5:F5"/>
    <mergeCell ref="G5:J5"/>
    <mergeCell ref="K5:M5"/>
    <mergeCell ref="A3:B3"/>
    <mergeCell ref="C3:F3"/>
    <mergeCell ref="G3:J3"/>
    <mergeCell ref="L3:M3"/>
    <mergeCell ref="A1:M1"/>
    <mergeCell ref="A2:B2"/>
    <mergeCell ref="C2:F2"/>
    <mergeCell ref="G2:J2"/>
    <mergeCell ref="L2: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4A4845AA8E2D1248A9D86DC19758FBCA" ma:contentTypeVersion="15" ma:contentTypeDescription="Tạo tài liệu mới." ma:contentTypeScope="" ma:versionID="45b9f706f97508dfa8d7eefeb24ffcd3">
  <xsd:schema xmlns:xsd="http://www.w3.org/2001/XMLSchema" xmlns:xs="http://www.w3.org/2001/XMLSchema" xmlns:p="http://schemas.microsoft.com/office/2006/metadata/properties" xmlns:ns2="fbdcad3f-6e3c-45cb-bf96-8947e550e724" xmlns:ns3="b17da3de-44ce-4978-a9ee-c602b11cddd4" targetNamespace="http://schemas.microsoft.com/office/2006/metadata/properties" ma:root="true" ma:fieldsID="dc1a10e09ae9de6c70c1458b9698b4f9" ns2:_="" ns3:_="">
    <xsd:import namespace="fbdcad3f-6e3c-45cb-bf96-8947e550e724"/>
    <xsd:import namespace="b17da3de-44ce-4978-a9ee-c602b11cdd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cad3f-6e3c-45cb-bf96-8947e550e7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05f03c00-fedf-4139-9167-b2a092cf559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Flow_SignoffStatus" ma:index="22" nillable="true" ma:displayName="Trạng thái kết luận" ma:internalName="Tr_x1ea1_ng_x0020_th_x00e1_i_x0020_k_x1ebf_t_x0020_lu_x1ead_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7da3de-44ce-4978-a9ee-c602b11cddd4" elementFormDefault="qualified">
    <xsd:import namespace="http://schemas.microsoft.com/office/2006/documentManagement/types"/>
    <xsd:import namespace="http://schemas.microsoft.com/office/infopath/2007/PartnerControls"/>
    <xsd:element name="SharedWithUsers" ma:index="12"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hia sẻ Có Chi tiết" ma:internalName="SharedWithDetails" ma:readOnly="true">
      <xsd:simpleType>
        <xsd:restriction base="dms:Note">
          <xsd:maxLength value="255"/>
        </xsd:restriction>
      </xsd:simpleType>
    </xsd:element>
    <xsd:element name="TaxCatchAll" ma:index="16" nillable="true" ma:displayName="Taxonomy Catch All Column" ma:hidden="true" ma:list="{119e8996-1f76-4852-9bbc-8808c44889ac}" ma:internalName="TaxCatchAll" ma:showField="CatchAllData" ma:web="b17da3de-44ce-4978-a9ee-c602b11cdd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dcad3f-6e3c-45cb-bf96-8947e550e724">
      <Terms xmlns="http://schemas.microsoft.com/office/infopath/2007/PartnerControls"/>
    </lcf76f155ced4ddcb4097134ff3c332f>
    <TaxCatchAll xmlns="b17da3de-44ce-4978-a9ee-c602b11cddd4" xsi:nil="true"/>
    <SharedWithUsers xmlns="b17da3de-44ce-4978-a9ee-c602b11cddd4">
      <UserInfo>
        <DisplayName/>
        <AccountId xsi:nil="true"/>
        <AccountType/>
      </UserInfo>
    </SharedWithUsers>
    <_Flow_SignoffStatus xmlns="fbdcad3f-6e3c-45cb-bf96-8947e550e724" xsi:nil="true"/>
  </documentManagement>
</p:properties>
</file>

<file path=customXml/itemProps1.xml><?xml version="1.0" encoding="utf-8"?>
<ds:datastoreItem xmlns:ds="http://schemas.openxmlformats.org/officeDocument/2006/customXml" ds:itemID="{2A9F126A-949C-4F9F-9F39-856835F7C6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cad3f-6e3c-45cb-bf96-8947e550e724"/>
    <ds:schemaRef ds:uri="b17da3de-44ce-4978-a9ee-c602b11cdd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AB77F1-4110-4E7F-A929-4A254B41DFAF}">
  <ds:schemaRefs>
    <ds:schemaRef ds:uri="http://schemas.microsoft.com/sharepoint/v3/contenttype/forms"/>
  </ds:schemaRefs>
</ds:datastoreItem>
</file>

<file path=customXml/itemProps3.xml><?xml version="1.0" encoding="utf-8"?>
<ds:datastoreItem xmlns:ds="http://schemas.openxmlformats.org/officeDocument/2006/customXml" ds:itemID="{49271FA3-9F94-4FFA-B758-7D86FAE98BF4}">
  <ds:schemaRefs>
    <ds:schemaRef ds:uri="http://schemas.microsoft.com/office/2006/metadata/properties"/>
    <ds:schemaRef ds:uri="http://schemas.microsoft.com/office/infopath/2007/PartnerControls"/>
    <ds:schemaRef ds:uri="fbdcad3f-6e3c-45cb-bf96-8947e550e724"/>
    <ds:schemaRef ds:uri="b17da3de-44ce-4978-a9ee-c602b11cdd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Contract</vt:lpstr>
      <vt:lpstr>Comercial Invoice</vt:lpstr>
      <vt:lpstr>Packing List</vt:lpstr>
      <vt:lpstr>Mẫu 1(dự bị)</vt:lpstr>
      <vt:lpstr>申报要素</vt:lpstr>
      <vt:lpstr>报关单</vt:lpstr>
      <vt:lpstr>'Mẫu 1(dự bị)'!Print_Area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 Pham</dc:creator>
  <cp:keywords/>
  <dc:description/>
  <cp:lastModifiedBy>(Ruby) Nguyễn Ngọc Thúy</cp:lastModifiedBy>
  <cp:revision/>
  <dcterms:created xsi:type="dcterms:W3CDTF">2024-08-23T07:25:22Z</dcterms:created>
  <dcterms:modified xsi:type="dcterms:W3CDTF">2026-05-29T04:50:37Z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0x0101004A4845AA8E2D1248A9D86DC19758FBCA</vt:lpwstr>
  </property>
  <property fmtid="{D5CDD505-2E9C-101B-9397-08002B2CF9AE}" pid="3" name="Order">
    <vt:r8>6444500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