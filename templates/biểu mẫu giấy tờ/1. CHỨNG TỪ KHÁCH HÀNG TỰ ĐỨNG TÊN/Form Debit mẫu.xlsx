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xr:revisionPtr revIDLastSave="14" documentId="11_B31164305F3D87A363CE7EFB62CC68E15864785C" xr6:coauthVersionLast="47" xr6:coauthVersionMax="47" xr10:uidLastSave="{262F7330-C26B-414E-BF2F-3B605973EF92}"/>
  <bookViews>
    <workbookView xWindow="0" yWindow="0" windowWidth="0" windowHeight="0" xr2:uid="{00000000-000D-0000-FFFF-FFFF00000000}"/>
  </bookViews>
  <sheets>
    <sheet name="mẫu debit con 2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jXZApAI/Hg6xOnDEQBo6CykQtNw=="/>
    </ext>
  </extLst>
</workbook>
</file>

<file path=xl/calcChain.xml><?xml version="1.0" encoding="utf-8"?>
<calcChain xmlns="http://schemas.openxmlformats.org/spreadsheetml/2006/main">
  <c r="H44" i="1" l="1"/>
  <c r="I44" i="1" s="1"/>
  <c r="I43" i="1"/>
  <c r="I42" i="1"/>
  <c r="H41" i="1"/>
  <c r="I41" i="1" s="1"/>
  <c r="H40" i="1"/>
  <c r="I40" i="1" s="1"/>
  <c r="H39" i="1"/>
  <c r="I39" i="1" s="1"/>
  <c r="I38" i="1"/>
  <c r="H38" i="1"/>
  <c r="G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I31" i="1"/>
  <c r="H31" i="1"/>
  <c r="G31" i="1"/>
  <c r="I30" i="1"/>
  <c r="I29" i="1"/>
  <c r="G29" i="1"/>
  <c r="H28" i="1"/>
  <c r="I28" i="1" s="1"/>
  <c r="I27" i="1"/>
  <c r="H27" i="1"/>
  <c r="G27" i="1"/>
  <c r="I26" i="1"/>
  <c r="I25" i="1"/>
  <c r="I24" i="1"/>
  <c r="I23" i="1"/>
  <c r="I22" i="1"/>
  <c r="I21" i="1"/>
  <c r="I20" i="1"/>
  <c r="I19" i="1"/>
  <c r="I18" i="1"/>
  <c r="H18" i="1"/>
  <c r="G18" i="1"/>
  <c r="I17" i="1"/>
  <c r="H17" i="1"/>
  <c r="G1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<sst xmlns="http://schemas.openxmlformats.org/spreadsheetml/2006/main" count="76" uniqueCount="68">
  <si>
    <t xml:space="preserve">
CÔNG TY TNHH XUẤT NHẬP KHẨU &amp; THƯƠNG MẠI EUREKA</t>
  </si>
  <si>
    <t>website: www.erktransport.com</t>
  </si>
  <si>
    <t>Địa chỉ: Tầng 3, tòa PCC1,44 Triều Khúc - Q.Thanh Xuân - TP. Hà Nội</t>
  </si>
  <si>
    <t>Tỉ giá USD/VND:</t>
  </si>
  <si>
    <t>Tỉ giá NDT/VND:</t>
  </si>
  <si>
    <t>Người báo giá:</t>
  </si>
  <si>
    <t>Ngày debit</t>
  </si>
  <si>
    <t>Email:</t>
  </si>
  <si>
    <t>Tel:</t>
  </si>
  <si>
    <t>DEBIT NOTE
Số : …………..</t>
  </si>
  <si>
    <t xml:space="preserve">Kính gửi công ty </t>
  </si>
  <si>
    <r>
      <rPr>
        <sz val="9"/>
        <color theme="1"/>
        <rFont val="Arial"/>
      </rPr>
      <t xml:space="preserve">Chúng tôi xin gửi đến Quý công ty bảng debit giao nhận XNK, loại hình dịch vụ: </t>
    </r>
    <r>
      <rPr>
        <u/>
        <sz val="9"/>
        <color theme="1"/>
        <rFont val="Arial"/>
      </rPr>
      <t>Logistics</t>
    </r>
  </si>
  <si>
    <t>THÔNG TIN LÔ HÀNG:</t>
  </si>
  <si>
    <t xml:space="preserve">Tên hàng: </t>
  </si>
  <si>
    <t>FCL</t>
  </si>
  <si>
    <t>Cảng đi: Guangzhou, China</t>
  </si>
  <si>
    <t>Số lượng:</t>
  </si>
  <si>
    <t>Cont 20 GP</t>
  </si>
  <si>
    <t>Cảng đến: Hải Phòng, Việt Nam</t>
  </si>
  <si>
    <t>STT</t>
  </si>
  <si>
    <t>TÊN DỊCH VỤ</t>
  </si>
  <si>
    <t>Loại chi phí</t>
  </si>
  <si>
    <t>ĐƠN GIÁ</t>
  </si>
  <si>
    <t>Thành tiền</t>
  </si>
  <si>
    <t>VAT (%)</t>
  </si>
  <si>
    <t>TỔNG TIỀN</t>
  </si>
  <si>
    <t>Số hóa đơn</t>
  </si>
  <si>
    <t>($)</t>
  </si>
  <si>
    <t>(¥)</t>
  </si>
  <si>
    <t>(đ)</t>
  </si>
  <si>
    <t>(VNĐ)</t>
  </si>
  <si>
    <t>TỔNG CỘNG</t>
  </si>
  <si>
    <t>IV. Phí dịch vụ giao nhận &amp; V/C (Quốc tế)</t>
  </si>
  <si>
    <t>THC</t>
  </si>
  <si>
    <t>Hóa đơn dịch vụ</t>
  </si>
  <si>
    <t>DOC</t>
  </si>
  <si>
    <t>SEAL</t>
  </si>
  <si>
    <t>MNF + Port surcharge</t>
  </si>
  <si>
    <t>VGM</t>
  </si>
  <si>
    <t>CUSTOM</t>
  </si>
  <si>
    <t>Pick up fee</t>
  </si>
  <si>
    <t>Phí đóng hàng tại kho</t>
  </si>
  <si>
    <t>Chi phí không có hóa đơn</t>
  </si>
  <si>
    <t>II. Phí dịch vụ đơn hàng</t>
  </si>
  <si>
    <t>Phí dv thủ tục khai/truyền hải quan
số tờ khai : ……………</t>
  </si>
  <si>
    <t>V. Phí V/C Quốc tế</t>
  </si>
  <si>
    <t>Phí V/C (Quốc tế - Khác)</t>
  </si>
  <si>
    <t>VII. Phí dịch vụ giao nhận &amp; V/C (Nội địa)</t>
  </si>
  <si>
    <t>HC (Phí handling charge - Nội địa)</t>
  </si>
  <si>
    <t>THC ( Phí xếp dỡ tại cảng - Nội địa)</t>
  </si>
  <si>
    <t>D/O ( Phí chứng từ - Nội địa)</t>
  </si>
  <si>
    <t>CIC ( Phí mất cân bằng cont - Nội địa)</t>
  </si>
  <si>
    <t>CCF (phí vệ sinh container)</t>
  </si>
  <si>
    <t>Phí Trucking (Nội địa VN)</t>
  </si>
  <si>
    <t>VIII. Chi phí khác</t>
  </si>
  <si>
    <t>Phí dịch vụk iểm hóa nếu hàng hóa không vấn đề gì</t>
  </si>
  <si>
    <t>Phí kiểm hóa ( chi hộ)</t>
  </si>
  <si>
    <t>Hóa đơn chi hộ</t>
  </si>
  <si>
    <t>Phí nâng hạ (chi hộ)</t>
  </si>
  <si>
    <t>Phí cơ sở hạ tầng(chi hộ)</t>
  </si>
  <si>
    <t>Phí chi ngoài hải quan (chi hộ)</t>
  </si>
  <si>
    <t>Chí phí chi hộ không có hóa đơn</t>
  </si>
  <si>
    <t>Phí kiểm tra chất lượng</t>
  </si>
  <si>
    <t>Phí dịch vụ không có hóa đơn</t>
  </si>
  <si>
    <t>Xin quý khách vui lòng chuyển tiền vào tài khoản sau:</t>
  </si>
  <si>
    <r>
      <rPr>
        <b/>
        <i/>
        <sz val="9"/>
        <color theme="1"/>
        <rFont val="Arial"/>
      </rPr>
      <t>Các chi phí có hóa đơn dịch vụ,</t>
    </r>
    <r>
      <rPr>
        <i/>
        <sz val="9"/>
        <color theme="1"/>
        <rFont val="Arial"/>
      </rPr>
      <t xml:space="preserve"> quý khách vui lòng chuyển tiền qua </t>
    </r>
    <r>
      <rPr>
        <b/>
        <i/>
        <sz val="9"/>
        <color theme="1"/>
        <rFont val="Arial"/>
      </rPr>
      <t xml:space="preserve">tài khoản công ty: </t>
    </r>
    <r>
      <rPr>
        <i/>
        <sz val="9"/>
        <color theme="1"/>
        <rFont val="Arial"/>
      </rPr>
      <t xml:space="preserve">
</t>
    </r>
    <r>
      <rPr>
        <b/>
        <i/>
        <sz val="9"/>
        <color theme="1"/>
        <rFont val="Arial"/>
      </rPr>
      <t>Ngân hàng ACB - Chi nhánh: Đông Đô
Số TK: 555559668888 - Chủ TK: CÔNG TY TNHH XUẤT NHẬP KHẨU VÀ THƯƠNG MẠI EUREKA</t>
    </r>
  </si>
  <si>
    <r>
      <rPr>
        <b/>
        <i/>
        <sz val="9"/>
        <color theme="1"/>
        <rFont val="Arial"/>
      </rPr>
      <t>Các chi phí chi hộ,</t>
    </r>
    <r>
      <rPr>
        <i/>
        <sz val="9"/>
        <color theme="1"/>
        <rFont val="Arial"/>
      </rPr>
      <t xml:space="preserve"> quý khách vui lòng chuyển tiền qua </t>
    </r>
    <r>
      <rPr>
        <b/>
        <i/>
        <sz val="9"/>
        <color theme="1"/>
        <rFont val="Arial"/>
      </rPr>
      <t xml:space="preserve">tài khoản cá nhân: </t>
    </r>
    <r>
      <rPr>
        <i/>
        <sz val="9"/>
        <color theme="1"/>
        <rFont val="Arial"/>
      </rPr>
      <t xml:space="preserve">
</t>
    </r>
    <r>
      <rPr>
        <b/>
        <i/>
        <sz val="9"/>
        <color theme="1"/>
        <rFont val="Arial"/>
      </rPr>
      <t>Ngân hàng MBANK - Chi nhánh: Từ Liêm
Số TK: 066880016888- Chủ TK: LE CHI HIEU</t>
    </r>
  </si>
  <si>
    <t>Người lập 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</si>
</sst>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₫_-;\-* #,##0.00\ _₫_-;_-* &quot;-&quot;??\ _₫_-;_-@"/>
    <numFmt numFmtId="166" formatCode="_(* #,##0_);_(* \(#,##0\);_(* &quot;-&quot;??_);_(@_)"/>
  </numFmts>
  <fonts count="12">
    <font>
      <sz val="10"/>
      <color rgb="FF000000"/>
      <name val="Arial"/>
      <scheme val="minor"/>
    </font>
    <font>
      <sz val="9"/>
      <color theme="1"/>
      <name val="Arial"/>
    </font>
    <font>
      <sz val="10"/>
      <color rgb="FF000000"/>
      <name val="Arial"/>
    </font>
    <font>
      <sz val="10"/>
      <name val="Arial"/>
    </font>
    <font>
      <b/>
      <sz val="15"/>
      <color theme="1"/>
      <name val="Arial"/>
    </font>
    <font>
      <b/>
      <sz val="9"/>
      <color theme="0"/>
      <name val="Arial"/>
    </font>
    <font>
      <b/>
      <sz val="9"/>
      <color theme="1"/>
      <name val="Arial"/>
    </font>
    <font>
      <b/>
      <sz val="10"/>
      <color rgb="FF000000"/>
      <name val="Arial"/>
    </font>
    <font>
      <i/>
      <sz val="9"/>
      <color theme="1"/>
      <name val="Arial"/>
    </font>
    <font>
      <u/>
      <sz val="9"/>
      <color theme="1"/>
      <name val="Arial"/>
    </font>
    <font>
      <b/>
      <i/>
      <sz val="9"/>
      <color theme="1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61">
    <xf numFmtId="0" fontId="0" fillId="0" borderId="0" xfId="0"/>
    <xf numFmtId="2" fontId="1" fillId="0" borderId="0" xfId="0" applyNumberFormat="1" applyFont="1"/>
    <xf numFmtId="0" fontId="1" fillId="0" borderId="0" xfId="0" applyFont="1"/>
    <xf numFmtId="1" fontId="2" fillId="0" borderId="0" xfId="0" applyNumberFormat="1" applyFont="1" applyAlignment="1">
      <alignment horizontal="center"/>
    </xf>
    <xf numFmtId="164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2" fillId="0" borderId="0" xfId="0" applyFont="1"/>
    <xf numFmtId="0" fontId="7" fillId="0" borderId="0" xfId="0" applyFont="1"/>
    <xf numFmtId="1" fontId="1" fillId="3" borderId="3" xfId="0" applyNumberFormat="1" applyFont="1" applyFill="1" applyBorder="1" applyAlignment="1">
      <alignment vertical="center" wrapText="1"/>
    </xf>
    <xf numFmtId="164" fontId="8" fillId="3" borderId="3" xfId="0" applyNumberFormat="1" applyFont="1" applyFill="1" applyBorder="1" applyAlignment="1">
      <alignment vertical="center" wrapText="1"/>
    </xf>
    <xf numFmtId="166" fontId="1" fillId="3" borderId="3" xfId="0" applyNumberFormat="1" applyFont="1" applyFill="1" applyBorder="1" applyAlignment="1">
      <alignment horizontal="right" vertical="center" wrapText="1"/>
    </xf>
    <xf numFmtId="166" fontId="1" fillId="3" borderId="3" xfId="0" applyNumberFormat="1" applyFont="1" applyFill="1" applyBorder="1" applyAlignment="1">
      <alignment vertical="center" wrapText="1"/>
    </xf>
    <xf numFmtId="166" fontId="1" fillId="4" borderId="3" xfId="0" applyNumberFormat="1" applyFont="1" applyFill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/>
    <xf numFmtId="166" fontId="1" fillId="3" borderId="3" xfId="0" applyNumberFormat="1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vertical="center" wrapText="1"/>
    </xf>
    <xf numFmtId="164" fontId="8" fillId="4" borderId="3" xfId="0" applyNumberFormat="1" applyFont="1" applyFill="1" applyBorder="1" applyAlignment="1">
      <alignment vertical="center" wrapText="1"/>
    </xf>
    <xf numFmtId="166" fontId="1" fillId="4" borderId="3" xfId="0" applyNumberFormat="1" applyFont="1" applyFill="1" applyBorder="1" applyAlignment="1">
      <alignment horizontal="center" vertical="center" wrapText="1"/>
    </xf>
    <xf numFmtId="166" fontId="1" fillId="4" borderId="3" xfId="0" applyNumberFormat="1" applyFont="1" applyFill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2" fontId="2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1" fontId="1" fillId="0" borderId="2" xfId="0" applyNumberFormat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wrapText="1"/>
    </xf>
    <xf numFmtId="166" fontId="1" fillId="3" borderId="2" xfId="0" applyNumberFormat="1" applyFont="1" applyFill="1" applyBorder="1" applyAlignment="1">
      <alignment horizontal="center" vertical="center" wrapText="1"/>
    </xf>
    <xf numFmtId="1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right" vertical="center" wrapText="1"/>
    </xf>
    <xf numFmtId="164" fontId="6" fillId="5" borderId="3" xfId="0" applyNumberFormat="1" applyFont="1" applyFill="1" applyBorder="1" applyAlignment="1">
      <alignment horizontal="right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165" fontId="5" fillId="6" borderId="3" xfId="0" applyNumberFormat="1" applyFont="1" applyFill="1" applyBorder="1" applyAlignment="1">
      <alignment vertical="center" wrapText="1"/>
    </xf>
    <xf numFmtId="164" fontId="5" fillId="6" borderId="3" xfId="0" applyNumberFormat="1" applyFont="1" applyFill="1" applyBorder="1" applyAlignment="1">
      <alignment horizontal="right"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1" fontId="6" fillId="7" borderId="3" xfId="0" applyNumberFormat="1" applyFont="1" applyFill="1" applyBorder="1" applyAlignment="1">
      <alignment horizontal="center" vertical="center" wrapText="1"/>
    </xf>
    <xf numFmtId="164" fontId="6" fillId="7" borderId="3" xfId="0" applyNumberFormat="1" applyFont="1" applyFill="1" applyBorder="1" applyAlignment="1">
      <alignment vertical="center"/>
    </xf>
    <xf numFmtId="166" fontId="6" fillId="7" borderId="3" xfId="0" applyNumberFormat="1" applyFont="1" applyFill="1" applyBorder="1" applyAlignment="1">
      <alignment horizontal="center" vertical="center" wrapText="1"/>
    </xf>
    <xf numFmtId="166" fontId="6" fillId="7" borderId="3" xfId="0" applyNumberFormat="1" applyFont="1" applyFill="1" applyBorder="1" applyAlignment="1">
      <alignment vertical="center" wrapText="1"/>
    </xf>
    <xf numFmtId="166" fontId="6" fillId="7" borderId="3" xfId="0" applyNumberFormat="1" applyFont="1" applyFill="1" applyBorder="1" applyAlignment="1">
      <alignment horizontal="right" vertical="center" wrapText="1"/>
    </xf>
    <xf numFmtId="164" fontId="6" fillId="7" borderId="3" xfId="0" applyNumberFormat="1" applyFont="1" applyFill="1" applyBorder="1" applyAlignment="1">
      <alignment vertical="center" wrapText="1"/>
    </xf>
    <xf numFmtId="2" fontId="1" fillId="0" borderId="0" xfId="0" applyNumberFormat="1" applyFont="1" applyAlignment="1"/>
    <xf numFmtId="0" fontId="1" fillId="0" borderId="0" xfId="0" applyFont="1" applyAlignment="1"/>
    <xf numFmtId="0" fontId="0" fillId="0" borderId="0" xfId="0" applyAlignment="1"/>
    <xf numFmtId="0" fontId="1" fillId="2" borderId="1" xfId="0" applyFont="1" applyFill="1" applyBorder="1" applyAlignment="1"/>
    <xf numFmtId="0" fontId="3" fillId="0" borderId="1" xfId="0" applyFont="1" applyBorder="1" applyAlignment="1"/>
    <xf numFmtId="0" fontId="11" fillId="5" borderId="4" xfId="0" applyFont="1" applyFill="1" applyBorder="1" applyAlignment="1"/>
    <xf numFmtId="0" fontId="3" fillId="6" borderId="6" xfId="0" applyFont="1" applyFill="1" applyBorder="1" applyAlignment="1"/>
    <xf numFmtId="0" fontId="3" fillId="6" borderId="7" xfId="0" applyFont="1" applyFill="1" applyBorder="1" applyAlignment="1"/>
    <xf numFmtId="0" fontId="3" fillId="0" borderId="8" xfId="0" applyFont="1" applyBorder="1" applyAlignment="1"/>
    <xf numFmtId="0" fontId="3" fillId="0" borderId="4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customschemas.google.com/relationships/workbookmetadata" Target="metadata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314325</xdr:rowOff>
    </xdr:from>
    <xdr:ext cx="314325" cy="152400"/>
    <xdr:sp macro="" textlink="">
      <xdr:nvSpPr>
        <xdr:cNvPr id="3" name="Shape 3" descr="data:image/png;base64,iVBORw0KGgoAAAANSUhEUgAAAGUAAAAXCAYAAAASloEFAAAKN0lEQVRoQ+1ZfXQU1RX/3ZndzUJCQgIFwZDsbuIHISTZHRRBLWjrKa22laPpl9piTXYC9g/t6alS0VJtLcc/qtaWk52IyqHYWlpttceetlpRj5HUzGYTCmLMzm4wwYgCwQQw2Z25PW82GzZRScJHjed4/5p9c9+d+36/++697y3hM5l0CNCk8+hT5JBHUTdIzF8VLhthbcHpcv0zUk4BSZ+idgAoAfgFQ9cuPwVTI6Z+RspJIllW9lPXB1N6BsR0i1mNhzXtJE19aNoIUg6UXzDP4XCedbqMn0k7bJrW9J1N+pn8xolsl1TUzWInvyN0klKiZO9rjxiny5cRpDBA+8sXz3I5pL8xaNHp+sgZsvNqQaRx6RmyPaZZX5V6DmS0C8VBV3JG16ubDo45aZwKH5u+BEG9lRfdCkmaSIpLkMUfjPPbIEbfaF2LKYtlPDqWDYtx38zWxtsAkE9RLaHPTOti4fpfpOd6lbq7CXwnA0dieihHjPv86r2QsJYBg5jbQHS1GJcO73V3dPx9oKxsTc4xd/IpIvpipg9kWhdHIw2N6TFfIHgLiO4Xn80HZ+m6lihauDrf4bT2gDBLbCAi8keb6/8rfPQGgmuI6Dej1vWG5HBd2NH00PsjvjXW4ke/7y1fWsIyFU103vj1zXwm6c9j6VtsXTOzdceTqK6WfUZB0ibFwrJYS+ilYeAU9Z8ArgCj2wiHCsW4NxDcTUTzR9lPGnrIaYPqMtsBmgmGIHonCB4AeQLkBPj8t3QtapMbCL4CIrFTdxl6qPzsC2+ekWUm9wCYCfAgW+a5sZZNnSld9UkQVto+Ai0A3iNAkE4A64aujchKE9kFw+voVZaWwOSVFtNdIEwbC8BTeS9ZPCJi07bykllNtHt7v8ezyi3NyDomxomT50TDm0RHZIsvoLaDcA6Dm2K6dpE9pqjvpoCzIVorAdtEtRZg+xT13wAuE7WbJNkTfW3jW4oSdB4CvQcgl0GbY3r9qiE7gjQCY2MyIa2TneZbRJQNoH/AYc7vbnq4K6UXLAIobutavNZo0TakgkO9nghbxPNgkgq7Wuu7036fFCmZIPPy5Q709Z2ynbTN3mTWJibckP5dEGk8oe2iReq1DsY2oX8kcTTnnbYtRzJ2yiAAJ0BrDb3eBsMXUD8AIYuZfxELa+vSuqUX1C6wLEmkGgw4+ud1N221QRVS4q+7kyW+G+Cdhq5VDJHCNq3MP6BUGnOC0W9ZA/Pikcd6MzCi5cvXy+L39u3r7R1tz7+w9lyY0hvi2TLJG4/UC+JsOW1gpg3Gyi44K9clLQSk6ZnkjfdZgrSRwXYkEzCYH2nMOtFcb0B9hghXAdxl6Nq84UVnFGIkrfOM1ob2wsq6s10OtsEmokuizfWvpPU9inqXBPzMBhr069S4JZzoJ6YVAAIA3jT00LlAtexTUikzQwaPJI4WZAZF+l3p4utyzcS0FQDfSIRyBhwETBW7T6TJfGK3qElnjJS04d6FixVLlr8B4FoRGOMlJVOPGf0E2NGbKWRhQ/7Oxr+KMZ+iCnBkZjwTC4e+NkyKv/YaSNKfxG9DD9nBV6wEvyODtgq0DbAbGUBk1IiPdZWB7TE9dJm3quYKkmVRr0Y5Zl5pND/8bOagp6pmuSTLYmxKapy7GGJdVJLaxWg39NB5I9Z3MmBNdE7Ms9w9njn5uX1llpQ15tlDspK+6W3/iQ2Rkkoj4HtiunZX+jteRb2HADs9pUnxBoIhIgoC6DP0UG6mT15FjZIIHuaXkkyrP8pft0WH21vru72KupmA79rfZX5R1C0CzQUQNfRQ6XBgKME8gHoAuBnY4wRf2q5roj6JYBJpdiozPx0La1//v5MyeoEHKpasIIkeByBS3IRSKAGJ/Eij6/jCVZsUYroxGq5/bHg8EPwXUm1twtBDtr4voAoAPw+gx9BDczL98i1SnwPjCwz0xEa9A9ZLwHq77R4C1G4WCLQjqtcvmaMEi6aA7E7LMnF1PBKyd7HHX7tMkqTtmYGRYcOud8R8bzSs3fGJk5J2QJyFDlUsuR0SXUdANgOi1ZYyHLS7qlHSXxBpFOeANEDpgrslFp67CtW7yNcx/XuQpE2pSMbWWDh0/RCY+wDMsRhPxsOhazLtev0115Ik2w2DCb68U9deEFwXK0G/DGpi8OqYrj08ZEecr3KY0RALh8TOg1cJ9hBoNoBuw3ewGNu2mSVK8DIGiY4OFnh+XNf2+JRgHjO2EJF9kUnglVFd+8ukIWU02gerLu4HWLSVop/fPyPSKBZ5QvEpwbjAbkipjxnZRMeJtZhWxMP1//hc2ZqcaVNMcUgjtlAdawnZ9SYtduvLFAGhbGjsMMASQHbLz4QnYs2hbw2RYtcxAq+K6tpmm5RFq88jtsQ5RSB9pdEcejZ17rFEINjpm8H7CCSusYYDjy1UxVpCrZOYlKX2Ym0HGVsLWhvtCD+RzFWCU7NAoh4cv7Njuh7Ev7Mj1JySH4880Ovzq4sg4TUxlg92ZXY7afvClhu8GZBEc5KWpGVydTySiuaSirpydvJO8ZwAl6YPk6lTu9pChEoAxww9JLorzFtUV+5kFjcBqfMcY3/StC53OFLtt2niys5IaERzMKF8PhZAp/K+V7koYJnScJEn4Mb8SONwjTgV25+2uZOGlINVS8Wd1U+OA8jXOSUWVxIjZFp4x+ufNpAn6u9kIuVlAJeMtYDME77obuItDS+WVNwwyzHgPCbLbt69e2N/4YKbCrp2vX8Y2GYWBm4q7Qpv6hCpyUwcoyxye3ISzk6hJ77lCwTXE6xnorkdraVdC+W8vAGr54gz15GdcHXq2tuiLuzd+d77wAI+//x38/fs+e0BTyAYzPz/pNhf+2XTnbO969X77cZknv/7cx2Qb3dNNe9I9rmmRNvq3/VU1RWnT+3e8prZgxKc3W2F+0oqemZG2+r3Z6578pBSueRtkF0ETySDBRknfG8g+HNxVeLxB39JjChLKIiHtfu8frWSYClM0qDsdD09ePSALDuyryqQ6A8HGDfHSw49VBwrWNXZHHrEG6hZY7L5wt6WR1/3KurdMd/B9Z5oweMg/lVc15q8gZpLAVlNmHSbG+b0jtaGXZ6K4OJ4m9Zk15hA3Upm80smU3NnJNWdCSmuql2aJVN70uIqo6XhOa+i/gjgTjZp0DKll1zHHEet3IEN4spHOpx1a0fHQ/YfZkImBSkHfUoecrM+dHL/EDuWtbmgbcfwfZXPr/7QaJnzQGllT2XCyXNk0xo0Whqe9/iDtw0mElvdDpebJa6NhbUfewLqN+Ph0BO+QPBWI6yJuypbvH51nURWFxG9PMjydDeZnQnGI0z0fFwPPehTatdaoKck4Kiha3vFHE8geEs8rD1gP/trlzHRJUTYFR/V2hYHauZ35na8WXioaLZDzq42eeCPsuSYB4u+Es+bc0/R4beXSZJVHtcbHpyUO2WstDXe97Mrbsj+qPun8c4XenOVb8/cp//ePnl/EvI/YzUlVFKAlA4AAAAASUVORK5CYII=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708563"/>
          <a:ext cx="304800" cy="142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workbookViewId="0">
      <selection activeCell="N30" sqref="N30"/>
    </sheetView>
  </sheetViews>
  <sheetFormatPr defaultColWidth="12.5703125" defaultRowHeight="15" customHeight="1"/>
  <cols>
    <col min="1" max="1" width="14.42578125" customWidth="1"/>
    <col min="2" max="2" width="32.42578125" customWidth="1"/>
    <col min="3" max="3" width="28.42578125" customWidth="1"/>
    <col min="4" max="4" width="15.42578125" hidden="1" customWidth="1"/>
    <col min="5" max="5" width="7.5703125" hidden="1" customWidth="1"/>
    <col min="6" max="6" width="10.85546875" hidden="1" customWidth="1"/>
    <col min="7" max="7" width="16.7109375" customWidth="1"/>
    <col min="8" max="8" width="15.7109375" customWidth="1"/>
    <col min="9" max="9" width="18.42578125" customWidth="1"/>
    <col min="10" max="10" width="15.42578125" customWidth="1"/>
    <col min="11" max="11" width="8" customWidth="1"/>
    <col min="12" max="12" width="7.5703125" customWidth="1"/>
    <col min="13" max="13" width="13.140625" customWidth="1"/>
    <col min="14" max="14" width="11" customWidth="1"/>
    <col min="15" max="26" width="7.5703125" customWidth="1"/>
  </cols>
  <sheetData>
    <row r="1" spans="1:10" ht="12.75" customHeight="1">
      <c r="A1" s="46" t="e" vm="1">
        <v>#VALUE!</v>
      </c>
      <c r="B1" s="47" t="s">
        <v>0</v>
      </c>
      <c r="C1" s="48"/>
      <c r="D1" s="48"/>
      <c r="E1" s="48"/>
      <c r="F1" s="48"/>
      <c r="G1" s="48"/>
      <c r="H1" s="48"/>
      <c r="J1" s="3"/>
    </row>
    <row r="2" spans="1:10" ht="12.75" customHeight="1">
      <c r="A2" s="48"/>
      <c r="B2" s="47" t="s">
        <v>1</v>
      </c>
      <c r="C2" s="48"/>
      <c r="D2" s="48"/>
      <c r="E2" s="48"/>
      <c r="F2" s="48"/>
      <c r="G2" s="48"/>
      <c r="H2" s="48"/>
      <c r="J2" s="3"/>
    </row>
    <row r="3" spans="1:10" ht="12.75" customHeight="1">
      <c r="A3" s="48"/>
      <c r="B3" s="2" t="s">
        <v>2</v>
      </c>
      <c r="C3" s="2"/>
      <c r="D3" s="2"/>
      <c r="E3" s="2"/>
      <c r="F3" s="2"/>
      <c r="G3" s="2"/>
      <c r="H3" s="4" t="s">
        <v>3</v>
      </c>
      <c r="I3" s="2">
        <v>25000</v>
      </c>
      <c r="J3" s="3"/>
    </row>
    <row r="4" spans="1:10" ht="12.75" customHeight="1">
      <c r="A4" s="1"/>
      <c r="B4" s="2"/>
      <c r="C4" s="2"/>
      <c r="D4" s="2"/>
      <c r="E4" s="2"/>
      <c r="F4" s="2"/>
      <c r="G4" s="2"/>
      <c r="H4" s="4" t="s">
        <v>4</v>
      </c>
      <c r="I4" s="2">
        <v>3600</v>
      </c>
      <c r="J4" s="5"/>
    </row>
    <row r="5" spans="1:10" ht="12.75" customHeight="1">
      <c r="A5" s="1" t="s">
        <v>5</v>
      </c>
      <c r="B5" s="49"/>
      <c r="C5" s="50"/>
      <c r="D5" s="2"/>
      <c r="E5" s="2"/>
      <c r="F5" s="2"/>
      <c r="G5" s="2"/>
      <c r="H5" s="4" t="s">
        <v>6</v>
      </c>
      <c r="I5" s="24">
        <v>44107</v>
      </c>
      <c r="J5" s="5"/>
    </row>
    <row r="6" spans="1:10" ht="12.75" customHeight="1">
      <c r="A6" s="1" t="s">
        <v>7</v>
      </c>
      <c r="B6" s="49"/>
      <c r="C6" s="50"/>
      <c r="D6" s="2"/>
      <c r="E6" s="2"/>
      <c r="F6" s="6"/>
      <c r="G6" s="6"/>
      <c r="H6" s="6"/>
      <c r="I6" s="6"/>
      <c r="J6" s="6"/>
    </row>
    <row r="7" spans="1:10" ht="12.75" customHeight="1">
      <c r="A7" s="1" t="s">
        <v>8</v>
      </c>
      <c r="B7" s="49"/>
      <c r="C7" s="50"/>
      <c r="D7" s="2"/>
      <c r="E7" s="2"/>
      <c r="F7" s="6"/>
      <c r="G7" s="6"/>
      <c r="H7" s="6"/>
      <c r="I7" s="6"/>
      <c r="J7" s="6"/>
    </row>
    <row r="8" spans="1:10" ht="12.75" customHeight="1">
      <c r="A8" s="1"/>
      <c r="B8" s="47"/>
      <c r="C8" s="48"/>
      <c r="D8" s="2"/>
      <c r="E8" s="2"/>
      <c r="F8" s="6"/>
      <c r="G8" s="6"/>
      <c r="H8" s="6"/>
      <c r="I8" s="6"/>
      <c r="J8" s="6"/>
    </row>
    <row r="9" spans="1:10" ht="52.5" customHeight="1">
      <c r="A9" s="29" t="s">
        <v>9</v>
      </c>
      <c r="B9" s="48"/>
      <c r="C9" s="48"/>
      <c r="D9" s="48"/>
      <c r="E9" s="48"/>
      <c r="F9" s="48"/>
      <c r="G9" s="48"/>
      <c r="H9" s="48"/>
      <c r="I9" s="48"/>
      <c r="J9" s="48"/>
    </row>
    <row r="10" spans="1:10" ht="12.75" customHeight="1">
      <c r="A10" s="1" t="s">
        <v>10</v>
      </c>
      <c r="B10" s="49"/>
      <c r="C10" s="50"/>
      <c r="D10" s="50"/>
      <c r="E10" s="50"/>
      <c r="F10" s="50"/>
      <c r="G10" s="50"/>
      <c r="H10" s="50"/>
      <c r="I10" s="50"/>
      <c r="J10" s="50"/>
    </row>
    <row r="11" spans="1:10" ht="12.75" customHeight="1">
      <c r="A11" s="47" t="s">
        <v>11</v>
      </c>
      <c r="B11" s="48"/>
      <c r="C11" s="48"/>
      <c r="D11" s="48"/>
      <c r="E11" s="48"/>
      <c r="F11" s="48"/>
      <c r="G11" s="48"/>
      <c r="H11" s="48"/>
      <c r="I11" s="48"/>
      <c r="J11" s="48"/>
    </row>
    <row r="12" spans="1:10" ht="12.75" customHeight="1">
      <c r="A12" s="47" t="s">
        <v>12</v>
      </c>
      <c r="B12" s="48"/>
      <c r="C12" s="48"/>
      <c r="D12" s="48"/>
      <c r="E12" s="48"/>
      <c r="F12" s="48"/>
      <c r="G12" s="48"/>
      <c r="H12" s="48"/>
      <c r="I12" s="48"/>
      <c r="J12" s="48"/>
    </row>
    <row r="13" spans="1:10" ht="12.75" customHeight="1">
      <c r="A13" s="1" t="s">
        <v>13</v>
      </c>
      <c r="B13" s="2"/>
      <c r="C13" s="2" t="s">
        <v>14</v>
      </c>
      <c r="D13" s="2"/>
      <c r="F13" s="2"/>
      <c r="G13" s="2" t="s">
        <v>15</v>
      </c>
      <c r="H13" s="2"/>
      <c r="I13" s="4"/>
      <c r="J13" s="5"/>
    </row>
    <row r="14" spans="1:10" ht="12.75" customHeight="1">
      <c r="A14" s="1" t="s">
        <v>16</v>
      </c>
      <c r="B14" s="2">
        <v>1</v>
      </c>
      <c r="C14" s="23" t="s">
        <v>17</v>
      </c>
      <c r="D14" s="2"/>
      <c r="F14" s="2"/>
      <c r="G14" s="2" t="s">
        <v>18</v>
      </c>
      <c r="H14" s="2"/>
      <c r="I14" s="4"/>
      <c r="J14" s="5"/>
    </row>
    <row r="15" spans="1:10" ht="12.75" customHeight="1">
      <c r="A15" s="31" t="s">
        <v>19</v>
      </c>
      <c r="B15" s="32" t="s">
        <v>20</v>
      </c>
      <c r="C15" s="32" t="s">
        <v>21</v>
      </c>
      <c r="D15" s="33" t="s">
        <v>22</v>
      </c>
      <c r="E15" s="33" t="s">
        <v>22</v>
      </c>
      <c r="F15" s="33" t="s">
        <v>22</v>
      </c>
      <c r="G15" s="32" t="s">
        <v>23</v>
      </c>
      <c r="H15" s="34" t="s">
        <v>24</v>
      </c>
      <c r="I15" s="35" t="s">
        <v>25</v>
      </c>
      <c r="J15" s="31" t="s">
        <v>26</v>
      </c>
    </row>
    <row r="16" spans="1:10" ht="24.75" customHeight="1">
      <c r="A16" s="51"/>
      <c r="B16" s="51"/>
      <c r="C16" s="51"/>
      <c r="D16" s="33" t="s">
        <v>27</v>
      </c>
      <c r="E16" s="33" t="s">
        <v>28</v>
      </c>
      <c r="F16" s="33" t="s">
        <v>29</v>
      </c>
      <c r="G16" s="51"/>
      <c r="H16" s="51"/>
      <c r="I16" s="35" t="s">
        <v>30</v>
      </c>
      <c r="J16" s="51"/>
    </row>
    <row r="17" spans="1:26" ht="14.25" customHeight="1">
      <c r="A17" s="36" t="s">
        <v>31</v>
      </c>
      <c r="B17" s="52"/>
      <c r="C17" s="52"/>
      <c r="D17" s="52"/>
      <c r="E17" s="52"/>
      <c r="F17" s="53"/>
      <c r="G17" s="37">
        <f t="shared" ref="G17:H17" si="0">G18+G27+G29+G31+G38</f>
        <v>62300000</v>
      </c>
      <c r="H17" s="37">
        <f t="shared" si="0"/>
        <v>2019000</v>
      </c>
      <c r="I17" s="38">
        <f>SUM(I18+I27+I29+I31+I38)</f>
        <v>64319000</v>
      </c>
      <c r="J17" s="39"/>
    </row>
    <row r="18" spans="1:26" ht="14.25" customHeight="1">
      <c r="A18" s="40">
        <v>1</v>
      </c>
      <c r="B18" s="41" t="s">
        <v>32</v>
      </c>
      <c r="C18" s="42"/>
      <c r="D18" s="43"/>
      <c r="E18" s="43"/>
      <c r="F18" s="43"/>
      <c r="G18" s="44">
        <f t="shared" ref="G18:I18" si="1">SUM(G19:G26)</f>
        <v>25250000</v>
      </c>
      <c r="H18" s="44">
        <f t="shared" si="1"/>
        <v>0</v>
      </c>
      <c r="I18" s="44">
        <f t="shared" si="1"/>
        <v>25250000</v>
      </c>
      <c r="J18" s="40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>
      <c r="A19" s="8"/>
      <c r="B19" s="9" t="s">
        <v>33</v>
      </c>
      <c r="C19" s="30" t="s">
        <v>34</v>
      </c>
      <c r="D19" s="10">
        <v>132</v>
      </c>
      <c r="E19" s="11"/>
      <c r="F19" s="11"/>
      <c r="G19" s="11">
        <v>3300000</v>
      </c>
      <c r="H19" s="11"/>
      <c r="I19" s="12">
        <f t="shared" ref="I19:I26" si="2">G19+H19</f>
        <v>3300000</v>
      </c>
      <c r="J19" s="25">
        <v>15060000</v>
      </c>
    </row>
    <row r="20" spans="1:26" ht="14.25" customHeight="1">
      <c r="A20" s="8"/>
      <c r="B20" s="9" t="s">
        <v>35</v>
      </c>
      <c r="C20" s="54"/>
      <c r="D20" s="10">
        <v>80</v>
      </c>
      <c r="E20" s="11"/>
      <c r="F20" s="11"/>
      <c r="G20" s="11">
        <v>2000000</v>
      </c>
      <c r="H20" s="11"/>
      <c r="I20" s="12">
        <f t="shared" si="2"/>
        <v>2000000</v>
      </c>
      <c r="J20" s="54"/>
    </row>
    <row r="21" spans="1:26" ht="14.25" customHeight="1">
      <c r="A21" s="8"/>
      <c r="B21" s="9" t="s">
        <v>36</v>
      </c>
      <c r="C21" s="54"/>
      <c r="D21" s="10">
        <v>12</v>
      </c>
      <c r="E21" s="11"/>
      <c r="F21" s="11"/>
      <c r="G21" s="11">
        <v>300000</v>
      </c>
      <c r="H21" s="11"/>
      <c r="I21" s="12">
        <f t="shared" si="2"/>
        <v>300000</v>
      </c>
      <c r="J21" s="54"/>
      <c r="M21" s="14"/>
    </row>
    <row r="22" spans="1:26" ht="14.25" customHeight="1">
      <c r="A22" s="8"/>
      <c r="B22" s="9" t="s">
        <v>37</v>
      </c>
      <c r="C22" s="54"/>
      <c r="D22" s="10">
        <v>88</v>
      </c>
      <c r="E22" s="11"/>
      <c r="F22" s="11"/>
      <c r="G22" s="11">
        <v>2200000</v>
      </c>
      <c r="H22" s="11"/>
      <c r="I22" s="12">
        <f t="shared" si="2"/>
        <v>2200000</v>
      </c>
      <c r="J22" s="54"/>
    </row>
    <row r="23" spans="1:26" ht="14.25" customHeight="1">
      <c r="A23" s="8"/>
      <c r="B23" s="9" t="s">
        <v>38</v>
      </c>
      <c r="C23" s="54"/>
      <c r="D23" s="10">
        <v>8</v>
      </c>
      <c r="E23" s="11"/>
      <c r="F23" s="11"/>
      <c r="G23" s="11">
        <v>200000</v>
      </c>
      <c r="H23" s="11"/>
      <c r="I23" s="12">
        <f t="shared" si="2"/>
        <v>200000</v>
      </c>
      <c r="J23" s="54"/>
    </row>
    <row r="24" spans="1:26" ht="14.25" customHeight="1">
      <c r="A24" s="8"/>
      <c r="B24" s="9" t="s">
        <v>39</v>
      </c>
      <c r="C24" s="54"/>
      <c r="D24" s="10">
        <v>52</v>
      </c>
      <c r="E24" s="11"/>
      <c r="F24" s="11"/>
      <c r="G24" s="11">
        <v>1300000</v>
      </c>
      <c r="H24" s="11"/>
      <c r="I24" s="12">
        <f t="shared" si="2"/>
        <v>1300000</v>
      </c>
      <c r="J24" s="54"/>
    </row>
    <row r="25" spans="1:26" ht="14.25" customHeight="1">
      <c r="A25" s="8"/>
      <c r="B25" s="9" t="s">
        <v>40</v>
      </c>
      <c r="C25" s="55"/>
      <c r="D25" s="12">
        <v>350</v>
      </c>
      <c r="E25" s="11"/>
      <c r="F25" s="11"/>
      <c r="G25" s="11">
        <v>8750000</v>
      </c>
      <c r="H25" s="11"/>
      <c r="I25" s="12">
        <f t="shared" si="2"/>
        <v>8750000</v>
      </c>
      <c r="J25" s="55"/>
    </row>
    <row r="26" spans="1:26" ht="27" customHeight="1">
      <c r="A26" s="8"/>
      <c r="B26" s="9" t="s">
        <v>41</v>
      </c>
      <c r="C26" s="15" t="s">
        <v>42</v>
      </c>
      <c r="D26" s="12"/>
      <c r="E26" s="11">
        <v>2000</v>
      </c>
      <c r="F26" s="11"/>
      <c r="G26" s="11">
        <v>7200000</v>
      </c>
      <c r="H26" s="11"/>
      <c r="I26" s="12">
        <f t="shared" si="2"/>
        <v>7200000</v>
      </c>
      <c r="J26" s="1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40">
        <v>2</v>
      </c>
      <c r="B27" s="41" t="s">
        <v>43</v>
      </c>
      <c r="C27" s="42"/>
      <c r="D27" s="43"/>
      <c r="E27" s="43"/>
      <c r="F27" s="44"/>
      <c r="G27" s="44">
        <f t="shared" ref="G27:I27" si="3">G28</f>
        <v>1000000</v>
      </c>
      <c r="H27" s="44">
        <f t="shared" si="3"/>
        <v>100000</v>
      </c>
      <c r="I27" s="44">
        <f t="shared" si="3"/>
        <v>1100000</v>
      </c>
      <c r="J27" s="40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.5" customHeight="1">
      <c r="A28" s="8"/>
      <c r="B28" s="17" t="s">
        <v>44</v>
      </c>
      <c r="C28" s="15" t="s">
        <v>34</v>
      </c>
      <c r="D28" s="11"/>
      <c r="E28" s="11"/>
      <c r="F28" s="10">
        <v>1000000</v>
      </c>
      <c r="G28" s="11">
        <v>1000000</v>
      </c>
      <c r="H28" s="10">
        <f>G28*0.1</f>
        <v>100000</v>
      </c>
      <c r="I28" s="12">
        <f>G28+H28</f>
        <v>1100000</v>
      </c>
      <c r="J28" s="16">
        <v>14321111</v>
      </c>
    </row>
    <row r="29" spans="1:26" ht="14.25" customHeight="1">
      <c r="A29" s="40">
        <v>3</v>
      </c>
      <c r="B29" s="41" t="s">
        <v>45</v>
      </c>
      <c r="C29" s="42"/>
      <c r="D29" s="43"/>
      <c r="E29" s="43"/>
      <c r="F29" s="43"/>
      <c r="G29" s="44">
        <f>G30</f>
        <v>5000000</v>
      </c>
      <c r="H29" s="44">
        <v>0</v>
      </c>
      <c r="I29" s="44">
        <f>I30</f>
        <v>5000000</v>
      </c>
      <c r="J29" s="40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.5" customHeight="1">
      <c r="A30" s="8"/>
      <c r="B30" s="9" t="s">
        <v>46</v>
      </c>
      <c r="C30" s="15" t="s">
        <v>34</v>
      </c>
      <c r="D30" s="12">
        <v>200</v>
      </c>
      <c r="E30" s="11"/>
      <c r="F30" s="11"/>
      <c r="G30" s="11">
        <v>5000000</v>
      </c>
      <c r="H30" s="10"/>
      <c r="I30" s="12">
        <f>G30+H30</f>
        <v>5000000</v>
      </c>
      <c r="J30" s="16">
        <v>1506000</v>
      </c>
    </row>
    <row r="31" spans="1:26" ht="14.25" customHeight="1">
      <c r="A31" s="40">
        <v>4</v>
      </c>
      <c r="B31" s="41" t="s">
        <v>47</v>
      </c>
      <c r="C31" s="42"/>
      <c r="D31" s="43"/>
      <c r="E31" s="43"/>
      <c r="F31" s="43"/>
      <c r="G31" s="44">
        <f t="shared" ref="G31:I31" si="4">SUM(G32:G37)</f>
        <v>12750000</v>
      </c>
      <c r="H31" s="44">
        <f t="shared" si="4"/>
        <v>1275000</v>
      </c>
      <c r="I31" s="44">
        <f t="shared" si="4"/>
        <v>14025000</v>
      </c>
      <c r="J31" s="40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>
      <c r="A32" s="8"/>
      <c r="B32" s="9" t="s">
        <v>48</v>
      </c>
      <c r="C32" s="30" t="s">
        <v>34</v>
      </c>
      <c r="D32" s="10"/>
      <c r="E32" s="11"/>
      <c r="F32" s="11">
        <v>600000</v>
      </c>
      <c r="G32" s="11">
        <v>600000</v>
      </c>
      <c r="H32" s="10">
        <f t="shared" ref="H32:H37" si="5">G32*0.1</f>
        <v>60000</v>
      </c>
      <c r="I32" s="12">
        <f t="shared" ref="I32:I37" si="6">G32+H32</f>
        <v>660000</v>
      </c>
      <c r="J32" s="25">
        <v>47054678</v>
      </c>
    </row>
    <row r="33" spans="1:26" ht="14.25" customHeight="1">
      <c r="A33" s="8"/>
      <c r="B33" s="9" t="s">
        <v>49</v>
      </c>
      <c r="C33" s="54"/>
      <c r="D33" s="10">
        <v>120</v>
      </c>
      <c r="E33" s="11"/>
      <c r="F33" s="11"/>
      <c r="G33" s="11">
        <v>3000000</v>
      </c>
      <c r="H33" s="10">
        <f t="shared" si="5"/>
        <v>300000</v>
      </c>
      <c r="I33" s="12">
        <f t="shared" si="6"/>
        <v>3300000</v>
      </c>
      <c r="J33" s="54"/>
    </row>
    <row r="34" spans="1:26" ht="14.25" customHeight="1">
      <c r="A34" s="8"/>
      <c r="B34" s="9" t="s">
        <v>50</v>
      </c>
      <c r="C34" s="54"/>
      <c r="D34" s="10">
        <v>35</v>
      </c>
      <c r="E34" s="11"/>
      <c r="F34" s="11"/>
      <c r="G34" s="11">
        <v>875000</v>
      </c>
      <c r="H34" s="10">
        <f t="shared" si="5"/>
        <v>87500</v>
      </c>
      <c r="I34" s="12">
        <f t="shared" si="6"/>
        <v>962500</v>
      </c>
      <c r="J34" s="54"/>
    </row>
    <row r="35" spans="1:26" ht="14.25" customHeight="1">
      <c r="A35" s="8"/>
      <c r="B35" s="9" t="s">
        <v>51</v>
      </c>
      <c r="C35" s="54"/>
      <c r="D35" s="10">
        <v>120</v>
      </c>
      <c r="E35" s="11"/>
      <c r="F35" s="11"/>
      <c r="G35" s="11">
        <v>3000000</v>
      </c>
      <c r="H35" s="10">
        <f t="shared" si="5"/>
        <v>300000</v>
      </c>
      <c r="I35" s="12">
        <f t="shared" si="6"/>
        <v>3300000</v>
      </c>
      <c r="J35" s="54"/>
    </row>
    <row r="36" spans="1:26" ht="14.25" customHeight="1">
      <c r="A36" s="8"/>
      <c r="B36" s="9" t="s">
        <v>52</v>
      </c>
      <c r="C36" s="54"/>
      <c r="D36" s="10">
        <v>15</v>
      </c>
      <c r="E36" s="11"/>
      <c r="F36" s="11"/>
      <c r="G36" s="11">
        <v>375000</v>
      </c>
      <c r="H36" s="10">
        <f t="shared" si="5"/>
        <v>37500</v>
      </c>
      <c r="I36" s="12">
        <f t="shared" si="6"/>
        <v>412500</v>
      </c>
      <c r="J36" s="55"/>
    </row>
    <row r="37" spans="1:26" ht="14.25" customHeight="1">
      <c r="A37" s="8"/>
      <c r="B37" s="9" t="s">
        <v>53</v>
      </c>
      <c r="C37" s="55"/>
      <c r="D37" s="10"/>
      <c r="E37" s="11"/>
      <c r="F37" s="12">
        <v>4900000</v>
      </c>
      <c r="G37" s="11">
        <v>4900000</v>
      </c>
      <c r="H37" s="10">
        <f t="shared" si="5"/>
        <v>490000</v>
      </c>
      <c r="I37" s="12">
        <f t="shared" si="6"/>
        <v>5390000</v>
      </c>
      <c r="J37" s="16">
        <v>11564400</v>
      </c>
    </row>
    <row r="38" spans="1:26" ht="14.25" customHeight="1">
      <c r="A38" s="40">
        <v>5</v>
      </c>
      <c r="B38" s="45" t="s">
        <v>54</v>
      </c>
      <c r="C38" s="42"/>
      <c r="D38" s="43"/>
      <c r="E38" s="43"/>
      <c r="F38" s="43"/>
      <c r="G38" s="44">
        <f t="shared" ref="G38:I38" si="7">SUM(G39:G44)</f>
        <v>18300000</v>
      </c>
      <c r="H38" s="44">
        <f t="shared" si="7"/>
        <v>644000</v>
      </c>
      <c r="I38" s="44">
        <f t="shared" si="7"/>
        <v>18944000</v>
      </c>
      <c r="J38" s="40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4" customHeight="1">
      <c r="A39" s="8"/>
      <c r="B39" s="9" t="s">
        <v>55</v>
      </c>
      <c r="C39" s="15" t="s">
        <v>34</v>
      </c>
      <c r="D39" s="10"/>
      <c r="E39" s="11"/>
      <c r="F39" s="11">
        <v>1000000</v>
      </c>
      <c r="G39" s="11">
        <v>1000000</v>
      </c>
      <c r="H39" s="10">
        <f t="shared" ref="H39:H41" si="8">G39*0.08</f>
        <v>80000</v>
      </c>
      <c r="I39" s="12">
        <f t="shared" ref="I39:I44" si="9">G39+H39</f>
        <v>1080000</v>
      </c>
      <c r="J39" s="16">
        <v>13074557</v>
      </c>
    </row>
    <row r="40" spans="1:26">
      <c r="A40" s="8"/>
      <c r="B40" s="9" t="s">
        <v>56</v>
      </c>
      <c r="C40" s="15" t="s">
        <v>57</v>
      </c>
      <c r="D40" s="10"/>
      <c r="E40" s="11"/>
      <c r="F40" s="11">
        <v>850000</v>
      </c>
      <c r="G40" s="11">
        <v>850000</v>
      </c>
      <c r="H40" s="10">
        <f t="shared" si="8"/>
        <v>68000</v>
      </c>
      <c r="I40" s="12">
        <f t="shared" si="9"/>
        <v>918000</v>
      </c>
      <c r="J40" s="16">
        <v>11026522</v>
      </c>
    </row>
    <row r="41" spans="1:26">
      <c r="A41" s="8"/>
      <c r="B41" s="9" t="s">
        <v>58</v>
      </c>
      <c r="C41" s="15" t="s">
        <v>57</v>
      </c>
      <c r="D41" s="10"/>
      <c r="E41" s="11"/>
      <c r="F41" s="10">
        <v>1200000</v>
      </c>
      <c r="G41" s="11">
        <v>1200000</v>
      </c>
      <c r="H41" s="10">
        <f t="shared" si="8"/>
        <v>96000</v>
      </c>
      <c r="I41" s="12">
        <f t="shared" si="9"/>
        <v>1296000</v>
      </c>
      <c r="J41" s="16">
        <v>15261111</v>
      </c>
    </row>
    <row r="42" spans="1:26">
      <c r="A42" s="8"/>
      <c r="B42" s="9" t="s">
        <v>59</v>
      </c>
      <c r="C42" s="15" t="s">
        <v>57</v>
      </c>
      <c r="D42" s="10"/>
      <c r="E42" s="11"/>
      <c r="F42" s="10">
        <v>250000</v>
      </c>
      <c r="G42" s="11">
        <v>250000</v>
      </c>
      <c r="H42" s="10"/>
      <c r="I42" s="12">
        <f t="shared" si="9"/>
        <v>250000</v>
      </c>
      <c r="J42" s="16">
        <v>15616552</v>
      </c>
    </row>
    <row r="43" spans="1:26" ht="21.75" customHeight="1">
      <c r="A43" s="8"/>
      <c r="B43" s="18" t="s">
        <v>60</v>
      </c>
      <c r="C43" s="19" t="s">
        <v>61</v>
      </c>
      <c r="D43" s="12"/>
      <c r="E43" s="20"/>
      <c r="F43" s="12">
        <v>10000000</v>
      </c>
      <c r="G43" s="20">
        <v>10000000</v>
      </c>
      <c r="H43" s="12"/>
      <c r="I43" s="12">
        <f t="shared" si="9"/>
        <v>10000000</v>
      </c>
      <c r="J43" s="16"/>
    </row>
    <row r="44" spans="1:26" ht="26.25" customHeight="1">
      <c r="A44" s="8"/>
      <c r="B44" s="18" t="s">
        <v>62</v>
      </c>
      <c r="C44" s="19" t="s">
        <v>63</v>
      </c>
      <c r="D44" s="12"/>
      <c r="E44" s="20"/>
      <c r="F44" s="12"/>
      <c r="G44" s="20">
        <v>5000000</v>
      </c>
      <c r="H44" s="10">
        <f>G44*0.08</f>
        <v>400000</v>
      </c>
      <c r="I44" s="12">
        <f t="shared" si="9"/>
        <v>5400000</v>
      </c>
      <c r="J44" s="16">
        <v>15625588</v>
      </c>
    </row>
    <row r="45" spans="1:26" ht="12.75" customHeight="1">
      <c r="A45" s="21"/>
      <c r="B45" s="21"/>
      <c r="C45" s="21"/>
      <c r="D45" s="21"/>
      <c r="E45" s="21"/>
      <c r="F45" s="21"/>
      <c r="G45" s="21"/>
      <c r="H45" s="21"/>
      <c r="I45" s="21"/>
      <c r="J45" s="13"/>
    </row>
    <row r="46" spans="1:26" ht="12.75" customHeight="1">
      <c r="A46" s="26" t="s">
        <v>64</v>
      </c>
      <c r="B46" s="56"/>
      <c r="C46" s="56"/>
      <c r="D46" s="56"/>
      <c r="E46" s="56"/>
      <c r="F46" s="56"/>
      <c r="G46" s="56"/>
      <c r="H46" s="56"/>
      <c r="I46" s="56"/>
      <c r="J46" s="57"/>
    </row>
    <row r="47" spans="1:26" ht="42.75" customHeight="1">
      <c r="A47" s="27" t="s">
        <v>65</v>
      </c>
      <c r="B47" s="50"/>
      <c r="C47" s="50"/>
      <c r="D47" s="50"/>
      <c r="E47" s="50"/>
      <c r="F47" s="50"/>
      <c r="G47" s="50"/>
      <c r="H47" s="50"/>
      <c r="I47" s="50"/>
      <c r="J47" s="58"/>
    </row>
    <row r="48" spans="1:26" ht="56.25" customHeight="1">
      <c r="A48" s="28" t="s">
        <v>66</v>
      </c>
      <c r="B48" s="59"/>
      <c r="C48" s="59"/>
      <c r="D48" s="59"/>
      <c r="E48" s="59"/>
      <c r="F48" s="59"/>
      <c r="G48" s="59"/>
      <c r="H48" s="59"/>
      <c r="I48" s="59"/>
      <c r="J48" s="60"/>
    </row>
    <row r="49" spans="1:10" ht="12.75" customHeight="1">
      <c r="A49" s="1"/>
      <c r="B49" s="2"/>
      <c r="C49" s="2"/>
      <c r="D49" s="2"/>
      <c r="E49" s="2"/>
      <c r="F49" s="2"/>
      <c r="G49" s="2"/>
      <c r="H49" s="2"/>
      <c r="I49" s="2"/>
      <c r="J49" s="5"/>
    </row>
    <row r="50" spans="1:10" ht="12.75" customHeight="1">
      <c r="A50" s="1"/>
      <c r="B50" s="2"/>
      <c r="C50" s="2"/>
      <c r="D50" s="2"/>
      <c r="E50" s="2"/>
      <c r="F50" s="2"/>
      <c r="G50" s="2"/>
      <c r="H50" s="2" t="s">
        <v>67</v>
      </c>
      <c r="I50" s="2"/>
      <c r="J50" s="5"/>
    </row>
    <row r="51" spans="1:10" ht="12.75" customHeight="1">
      <c r="A51" s="1"/>
      <c r="B51" s="2"/>
      <c r="C51" s="2"/>
      <c r="D51" s="2"/>
      <c r="E51" s="2"/>
      <c r="F51" s="2"/>
      <c r="G51" s="2"/>
      <c r="H51" s="2"/>
      <c r="I51" s="2"/>
      <c r="J51" s="5"/>
    </row>
    <row r="52" spans="1:10" ht="12.75" customHeight="1">
      <c r="A52" s="1"/>
      <c r="B52" s="2"/>
      <c r="C52" s="2"/>
      <c r="D52" s="2"/>
      <c r="E52" s="2"/>
      <c r="F52" s="2"/>
      <c r="G52" s="2"/>
      <c r="H52" s="2"/>
      <c r="I52" s="2"/>
      <c r="J52" s="5"/>
    </row>
    <row r="53" spans="1:10" ht="12.75" customHeight="1">
      <c r="A53" s="1"/>
      <c r="B53" s="2"/>
      <c r="C53" s="2"/>
      <c r="D53" s="2"/>
      <c r="E53" s="2"/>
      <c r="F53" s="2"/>
      <c r="G53" s="2"/>
      <c r="H53" s="2"/>
      <c r="I53" s="2"/>
      <c r="J53" s="5"/>
    </row>
    <row r="54" spans="1:10" ht="12.75" customHeight="1">
      <c r="A54" s="1"/>
      <c r="B54" s="2"/>
      <c r="C54" s="2"/>
      <c r="D54" s="2"/>
      <c r="E54" s="2"/>
      <c r="F54" s="2"/>
      <c r="G54" s="2"/>
      <c r="H54" s="2"/>
      <c r="I54" s="2"/>
      <c r="J54" s="5"/>
    </row>
    <row r="55" spans="1:10" ht="12.75" customHeight="1">
      <c r="A55" s="1"/>
      <c r="B55" s="2"/>
      <c r="C55" s="2"/>
      <c r="D55" s="2"/>
      <c r="E55" s="2"/>
      <c r="F55" s="2"/>
      <c r="G55" s="2"/>
      <c r="H55" s="2"/>
      <c r="I55" s="2"/>
      <c r="J55" s="5"/>
    </row>
    <row r="56" spans="1:10" ht="12.75" customHeight="1">
      <c r="A56" s="1"/>
      <c r="B56" s="2"/>
      <c r="C56" s="2"/>
      <c r="D56" s="2"/>
      <c r="E56" s="2"/>
      <c r="F56" s="2"/>
      <c r="G56" s="2"/>
      <c r="H56" s="2"/>
      <c r="I56" s="2"/>
      <c r="J56" s="5"/>
    </row>
    <row r="57" spans="1:10" ht="12.75" customHeight="1">
      <c r="A57" s="1"/>
      <c r="B57" s="2"/>
      <c r="C57" s="2"/>
      <c r="D57" s="2"/>
      <c r="E57" s="2"/>
      <c r="F57" s="2"/>
      <c r="G57" s="2"/>
      <c r="H57" s="2"/>
      <c r="I57" s="2"/>
      <c r="J57" s="5"/>
    </row>
    <row r="58" spans="1:10" ht="12.75" customHeight="1">
      <c r="A58" s="1"/>
      <c r="B58" s="2"/>
      <c r="C58" s="2"/>
      <c r="D58" s="2"/>
      <c r="E58" s="2"/>
      <c r="F58" s="2"/>
      <c r="G58" s="2"/>
      <c r="H58" s="2"/>
      <c r="I58" s="2"/>
      <c r="J58" s="5"/>
    </row>
    <row r="59" spans="1:10" ht="12.75" customHeight="1">
      <c r="A59" s="1"/>
      <c r="B59" s="2"/>
      <c r="C59" s="2"/>
      <c r="D59" s="2"/>
      <c r="E59" s="2"/>
      <c r="F59" s="2"/>
      <c r="G59" s="2"/>
      <c r="H59" s="2"/>
      <c r="I59" s="2"/>
      <c r="J59" s="5"/>
    </row>
    <row r="60" spans="1:10" ht="12.75" customHeight="1">
      <c r="A60" s="1"/>
      <c r="B60" s="2"/>
      <c r="C60" s="2"/>
      <c r="D60" s="2"/>
      <c r="E60" s="2"/>
      <c r="F60" s="2"/>
      <c r="G60" s="2"/>
      <c r="H60" s="2"/>
      <c r="I60" s="2"/>
      <c r="J60" s="5"/>
    </row>
    <row r="61" spans="1:10" ht="12.75" customHeight="1">
      <c r="A61" s="1"/>
      <c r="B61" s="2"/>
      <c r="C61" s="2"/>
      <c r="D61" s="2"/>
      <c r="E61" s="2"/>
      <c r="F61" s="2"/>
      <c r="G61" s="2"/>
      <c r="H61" s="2"/>
      <c r="I61" s="2"/>
      <c r="J61" s="5"/>
    </row>
    <row r="62" spans="1:10" ht="12.75" customHeight="1">
      <c r="A62" s="1"/>
      <c r="B62" s="2"/>
      <c r="C62" s="2"/>
      <c r="D62" s="2"/>
      <c r="E62" s="2"/>
      <c r="F62" s="2"/>
      <c r="G62" s="2"/>
      <c r="H62" s="2"/>
      <c r="I62" s="2"/>
      <c r="J62" s="5"/>
    </row>
    <row r="63" spans="1:10" ht="12.75" customHeight="1">
      <c r="A63" s="1"/>
      <c r="B63" s="2"/>
      <c r="C63" s="2"/>
      <c r="D63" s="2"/>
      <c r="E63" s="2"/>
      <c r="F63" s="2"/>
      <c r="G63" s="2"/>
      <c r="H63" s="2"/>
      <c r="I63" s="2"/>
      <c r="J63" s="5"/>
    </row>
    <row r="64" spans="1:10" ht="12.75" customHeight="1">
      <c r="A64" s="1"/>
      <c r="B64" s="2"/>
      <c r="C64" s="2"/>
      <c r="D64" s="2"/>
      <c r="E64" s="2"/>
      <c r="F64" s="2"/>
      <c r="G64" s="2"/>
      <c r="H64" s="2"/>
      <c r="I64" s="2"/>
      <c r="J64" s="5"/>
    </row>
    <row r="65" spans="1:10" ht="12.75" customHeight="1">
      <c r="A65" s="1"/>
      <c r="B65" s="2"/>
      <c r="C65" s="2"/>
      <c r="D65" s="2"/>
      <c r="E65" s="2"/>
      <c r="F65" s="2"/>
      <c r="G65" s="2"/>
      <c r="H65" s="2"/>
      <c r="I65" s="2"/>
      <c r="J65" s="5"/>
    </row>
    <row r="66" spans="1:10" ht="12.75" customHeight="1">
      <c r="A66" s="1"/>
      <c r="B66" s="2"/>
      <c r="C66" s="2"/>
      <c r="D66" s="2"/>
      <c r="E66" s="2"/>
      <c r="F66" s="2"/>
      <c r="G66" s="2"/>
      <c r="H66" s="2"/>
      <c r="I66" s="2"/>
      <c r="J66" s="5"/>
    </row>
    <row r="67" spans="1:10" ht="12.75" customHeight="1">
      <c r="A67" s="1"/>
      <c r="B67" s="2"/>
      <c r="C67" s="2"/>
      <c r="D67" s="2"/>
      <c r="E67" s="2"/>
      <c r="F67" s="2"/>
      <c r="G67" s="2"/>
      <c r="H67" s="2"/>
      <c r="I67" s="2"/>
      <c r="J67" s="5"/>
    </row>
    <row r="68" spans="1:10" ht="12.75" customHeight="1">
      <c r="A68" s="1"/>
      <c r="B68" s="2"/>
      <c r="C68" s="2"/>
      <c r="D68" s="2"/>
      <c r="E68" s="2"/>
      <c r="F68" s="2"/>
      <c r="G68" s="2"/>
      <c r="H68" s="2"/>
      <c r="I68" s="2"/>
      <c r="J68" s="5"/>
    </row>
    <row r="69" spans="1:10" ht="12.75" customHeight="1">
      <c r="A69" s="1"/>
      <c r="B69" s="2"/>
      <c r="C69" s="2"/>
      <c r="D69" s="2"/>
      <c r="E69" s="2"/>
      <c r="F69" s="2"/>
      <c r="G69" s="2"/>
      <c r="H69" s="2"/>
      <c r="I69" s="2"/>
      <c r="J69" s="5"/>
    </row>
    <row r="70" spans="1:10" ht="12.75" customHeight="1">
      <c r="A70" s="1"/>
      <c r="B70" s="2"/>
      <c r="C70" s="2"/>
      <c r="D70" s="2"/>
      <c r="E70" s="2"/>
      <c r="F70" s="2"/>
      <c r="G70" s="2"/>
      <c r="H70" s="2"/>
      <c r="I70" s="2"/>
      <c r="J70" s="5"/>
    </row>
    <row r="71" spans="1:10" ht="12.75" customHeight="1">
      <c r="A71" s="1"/>
      <c r="B71" s="2"/>
      <c r="C71" s="2"/>
      <c r="D71" s="2"/>
      <c r="E71" s="2"/>
      <c r="F71" s="2"/>
      <c r="G71" s="2"/>
      <c r="H71" s="2"/>
      <c r="I71" s="2"/>
      <c r="J71" s="5"/>
    </row>
    <row r="72" spans="1:10" ht="12.75" customHeight="1">
      <c r="A72" s="1"/>
      <c r="B72" s="2"/>
      <c r="C72" s="2"/>
      <c r="D72" s="2"/>
      <c r="E72" s="2"/>
      <c r="F72" s="2"/>
      <c r="G72" s="2"/>
      <c r="H72" s="2"/>
      <c r="I72" s="2"/>
      <c r="J72" s="5"/>
    </row>
    <row r="73" spans="1:10" ht="12.75" customHeight="1">
      <c r="A73" s="1"/>
      <c r="B73" s="2"/>
      <c r="C73" s="2"/>
      <c r="D73" s="2"/>
      <c r="E73" s="2"/>
      <c r="F73" s="2"/>
      <c r="G73" s="2"/>
      <c r="H73" s="2"/>
      <c r="I73" s="2"/>
      <c r="J73" s="5"/>
    </row>
    <row r="74" spans="1:10" ht="12.75" customHeight="1">
      <c r="A74" s="1"/>
      <c r="B74" s="2"/>
      <c r="C74" s="2"/>
      <c r="D74" s="2"/>
      <c r="E74" s="2"/>
      <c r="F74" s="2"/>
      <c r="G74" s="2"/>
      <c r="H74" s="2"/>
      <c r="I74" s="2"/>
      <c r="J74" s="5"/>
    </row>
    <row r="75" spans="1:10" ht="12.75" customHeight="1">
      <c r="A75" s="1"/>
      <c r="B75" s="2"/>
      <c r="C75" s="2"/>
      <c r="D75" s="2"/>
      <c r="E75" s="2"/>
      <c r="F75" s="2"/>
      <c r="G75" s="2"/>
      <c r="H75" s="2"/>
      <c r="I75" s="2"/>
      <c r="J75" s="5"/>
    </row>
    <row r="76" spans="1:10" ht="12.75" customHeight="1">
      <c r="A76" s="1"/>
      <c r="B76" s="2"/>
      <c r="C76" s="2"/>
      <c r="D76" s="2"/>
      <c r="E76" s="2"/>
      <c r="F76" s="2"/>
      <c r="G76" s="2"/>
      <c r="H76" s="2"/>
      <c r="I76" s="2"/>
      <c r="J76" s="5"/>
    </row>
    <row r="77" spans="1:10" ht="12.75" customHeight="1">
      <c r="A77" s="1"/>
      <c r="B77" s="2"/>
      <c r="C77" s="2"/>
      <c r="D77" s="2"/>
      <c r="E77" s="2"/>
      <c r="F77" s="2"/>
      <c r="G77" s="2"/>
      <c r="H77" s="2"/>
      <c r="I77" s="2"/>
      <c r="J77" s="5"/>
    </row>
    <row r="78" spans="1:10" ht="12.75" customHeight="1">
      <c r="A78" s="1"/>
      <c r="B78" s="2"/>
      <c r="C78" s="2"/>
      <c r="D78" s="2"/>
      <c r="E78" s="2"/>
      <c r="F78" s="2"/>
      <c r="G78" s="2"/>
      <c r="H78" s="2"/>
      <c r="I78" s="2"/>
      <c r="J78" s="5"/>
    </row>
    <row r="79" spans="1:10" ht="12.75" customHeight="1">
      <c r="A79" s="1"/>
      <c r="B79" s="2"/>
      <c r="C79" s="2"/>
      <c r="D79" s="2"/>
      <c r="E79" s="2"/>
      <c r="F79" s="2"/>
      <c r="G79" s="2"/>
      <c r="H79" s="2"/>
      <c r="I79" s="2"/>
      <c r="J79" s="5"/>
    </row>
    <row r="80" spans="1:10" ht="12.75" customHeight="1">
      <c r="A80" s="1"/>
      <c r="B80" s="2"/>
      <c r="C80" s="2"/>
      <c r="D80" s="2"/>
      <c r="E80" s="2"/>
      <c r="F80" s="2"/>
      <c r="G80" s="2"/>
      <c r="H80" s="2"/>
      <c r="I80" s="2"/>
      <c r="J80" s="5"/>
    </row>
    <row r="81" spans="1:10" ht="12.75" customHeight="1">
      <c r="A81" s="1"/>
      <c r="B81" s="2"/>
      <c r="C81" s="2"/>
      <c r="D81" s="2"/>
      <c r="E81" s="2"/>
      <c r="F81" s="2"/>
      <c r="G81" s="2"/>
      <c r="H81" s="2"/>
      <c r="I81" s="2"/>
      <c r="J81" s="5"/>
    </row>
    <row r="82" spans="1:10" ht="12.75" customHeight="1">
      <c r="A82" s="1"/>
      <c r="B82" s="2"/>
      <c r="C82" s="2"/>
      <c r="D82" s="2"/>
      <c r="E82" s="2"/>
      <c r="F82" s="2"/>
      <c r="G82" s="2"/>
      <c r="H82" s="2"/>
      <c r="I82" s="2"/>
      <c r="J82" s="5"/>
    </row>
    <row r="83" spans="1:10" ht="12.75" customHeight="1">
      <c r="A83" s="1"/>
      <c r="B83" s="2"/>
      <c r="C83" s="2"/>
      <c r="D83" s="2"/>
      <c r="E83" s="2"/>
      <c r="F83" s="2"/>
      <c r="G83" s="2"/>
      <c r="H83" s="2"/>
      <c r="I83" s="2"/>
      <c r="J83" s="5"/>
    </row>
    <row r="84" spans="1:10" ht="12.75" customHeight="1">
      <c r="A84" s="1"/>
      <c r="B84" s="2"/>
      <c r="C84" s="2"/>
      <c r="D84" s="2"/>
      <c r="E84" s="2"/>
      <c r="F84" s="2"/>
      <c r="G84" s="2"/>
      <c r="H84" s="2"/>
      <c r="I84" s="2"/>
      <c r="J84" s="5"/>
    </row>
    <row r="85" spans="1:10" ht="12.75" customHeight="1">
      <c r="A85" s="1"/>
      <c r="B85" s="2"/>
      <c r="C85" s="2"/>
      <c r="D85" s="2"/>
      <c r="E85" s="2"/>
      <c r="F85" s="2"/>
      <c r="G85" s="2"/>
      <c r="H85" s="2"/>
      <c r="I85" s="2"/>
      <c r="J85" s="5"/>
    </row>
    <row r="86" spans="1:10" ht="12.75" customHeight="1">
      <c r="A86" s="1"/>
      <c r="B86" s="2"/>
      <c r="C86" s="2"/>
      <c r="D86" s="2"/>
      <c r="E86" s="2"/>
      <c r="F86" s="2"/>
      <c r="G86" s="2"/>
      <c r="H86" s="2"/>
      <c r="I86" s="2"/>
      <c r="J86" s="5"/>
    </row>
    <row r="87" spans="1:10" ht="12.75" customHeight="1">
      <c r="A87" s="1"/>
      <c r="B87" s="2"/>
      <c r="C87" s="2"/>
      <c r="D87" s="2"/>
      <c r="E87" s="2"/>
      <c r="F87" s="2"/>
      <c r="G87" s="2"/>
      <c r="H87" s="2"/>
      <c r="I87" s="2"/>
      <c r="J87" s="5"/>
    </row>
    <row r="88" spans="1:10" ht="12.75" customHeight="1">
      <c r="A88" s="1"/>
      <c r="B88" s="2"/>
      <c r="C88" s="2"/>
      <c r="D88" s="2"/>
      <c r="E88" s="2"/>
      <c r="F88" s="2"/>
      <c r="G88" s="2"/>
      <c r="H88" s="2"/>
      <c r="I88" s="2"/>
      <c r="J88" s="5"/>
    </row>
    <row r="89" spans="1:10" ht="12.75" customHeight="1">
      <c r="A89" s="1"/>
      <c r="B89" s="2"/>
      <c r="C89" s="2"/>
      <c r="D89" s="2"/>
      <c r="E89" s="2"/>
      <c r="F89" s="2"/>
      <c r="G89" s="2"/>
      <c r="H89" s="2"/>
      <c r="I89" s="2"/>
      <c r="J89" s="5"/>
    </row>
    <row r="90" spans="1:10" ht="12.75" customHeight="1">
      <c r="A90" s="1"/>
      <c r="B90" s="2"/>
      <c r="C90" s="2"/>
      <c r="D90" s="2"/>
      <c r="E90" s="2"/>
      <c r="F90" s="2"/>
      <c r="G90" s="2"/>
      <c r="H90" s="2"/>
      <c r="I90" s="2"/>
      <c r="J90" s="5"/>
    </row>
    <row r="91" spans="1:10" ht="12.75" customHeight="1">
      <c r="A91" s="1"/>
      <c r="B91" s="2"/>
      <c r="C91" s="2"/>
      <c r="D91" s="2"/>
      <c r="E91" s="2"/>
      <c r="F91" s="2"/>
      <c r="G91" s="2"/>
      <c r="H91" s="2"/>
      <c r="I91" s="2"/>
      <c r="J91" s="5"/>
    </row>
    <row r="92" spans="1:10" ht="12.75" customHeight="1">
      <c r="A92" s="1"/>
      <c r="B92" s="2"/>
      <c r="C92" s="2"/>
      <c r="D92" s="2"/>
      <c r="E92" s="2"/>
      <c r="F92" s="2"/>
      <c r="G92" s="2"/>
      <c r="H92" s="2"/>
      <c r="I92" s="2"/>
      <c r="J92" s="5"/>
    </row>
    <row r="93" spans="1:10" ht="12.75" customHeight="1">
      <c r="A93" s="1"/>
      <c r="B93" s="2"/>
      <c r="C93" s="2"/>
      <c r="D93" s="2"/>
      <c r="E93" s="2"/>
      <c r="F93" s="2"/>
      <c r="G93" s="2"/>
      <c r="H93" s="2"/>
      <c r="I93" s="2"/>
      <c r="J93" s="5"/>
    </row>
    <row r="94" spans="1:10" ht="12.75" customHeight="1">
      <c r="A94" s="1"/>
      <c r="B94" s="2"/>
      <c r="C94" s="2"/>
      <c r="D94" s="2"/>
      <c r="E94" s="2"/>
      <c r="F94" s="2"/>
      <c r="G94" s="2"/>
      <c r="H94" s="2"/>
      <c r="I94" s="2"/>
      <c r="J94" s="5"/>
    </row>
    <row r="95" spans="1:10" ht="12.75" customHeight="1">
      <c r="A95" s="1"/>
      <c r="B95" s="2"/>
      <c r="C95" s="2"/>
      <c r="D95" s="2"/>
      <c r="E95" s="2"/>
      <c r="F95" s="2"/>
      <c r="G95" s="2"/>
      <c r="H95" s="2"/>
      <c r="I95" s="2"/>
      <c r="J95" s="5"/>
    </row>
    <row r="96" spans="1:10" ht="12.75" customHeight="1">
      <c r="A96" s="1"/>
      <c r="B96" s="2"/>
      <c r="C96" s="2"/>
      <c r="D96" s="2"/>
      <c r="E96" s="2"/>
      <c r="F96" s="2"/>
      <c r="G96" s="2"/>
      <c r="H96" s="2"/>
      <c r="I96" s="2"/>
      <c r="J96" s="5"/>
    </row>
    <row r="97" spans="1:10" ht="12.75" customHeight="1">
      <c r="A97" s="1"/>
      <c r="B97" s="2"/>
      <c r="C97" s="2"/>
      <c r="D97" s="2"/>
      <c r="E97" s="2"/>
      <c r="F97" s="2"/>
      <c r="G97" s="2"/>
      <c r="H97" s="2"/>
      <c r="I97" s="2"/>
      <c r="J97" s="5"/>
    </row>
    <row r="98" spans="1:10" ht="12.75" customHeight="1">
      <c r="A98" s="1"/>
      <c r="B98" s="2"/>
      <c r="C98" s="2"/>
      <c r="D98" s="2"/>
      <c r="E98" s="2"/>
      <c r="F98" s="2"/>
      <c r="G98" s="2"/>
      <c r="H98" s="2"/>
      <c r="I98" s="2"/>
      <c r="J98" s="5"/>
    </row>
    <row r="99" spans="1:10" ht="12.75" customHeight="1">
      <c r="A99" s="1"/>
      <c r="B99" s="2"/>
      <c r="C99" s="2"/>
      <c r="D99" s="2"/>
      <c r="E99" s="2"/>
      <c r="F99" s="2"/>
      <c r="G99" s="2"/>
      <c r="H99" s="2"/>
      <c r="I99" s="2"/>
      <c r="J99" s="5"/>
    </row>
    <row r="100" spans="1:1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5"/>
    </row>
    <row r="101" spans="1:10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5"/>
    </row>
    <row r="102" spans="1:10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5"/>
    </row>
    <row r="103" spans="1:10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5"/>
    </row>
    <row r="104" spans="1:10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5"/>
    </row>
    <row r="105" spans="1:10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5"/>
    </row>
    <row r="106" spans="1:10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5"/>
    </row>
    <row r="107" spans="1:10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5"/>
    </row>
    <row r="108" spans="1:10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5"/>
    </row>
    <row r="109" spans="1:10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5"/>
    </row>
    <row r="110" spans="1: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5"/>
    </row>
    <row r="111" spans="1:10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5"/>
    </row>
    <row r="112" spans="1:10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5"/>
    </row>
    <row r="113" spans="1:10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5"/>
    </row>
    <row r="114" spans="1:10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5"/>
    </row>
    <row r="115" spans="1:10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5"/>
    </row>
    <row r="116" spans="1:10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5"/>
    </row>
    <row r="117" spans="1:10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5"/>
    </row>
    <row r="118" spans="1:10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5"/>
    </row>
    <row r="119" spans="1:10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5"/>
    </row>
    <row r="120" spans="1:1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5"/>
    </row>
    <row r="121" spans="1:10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5"/>
    </row>
    <row r="122" spans="1:10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5"/>
    </row>
    <row r="123" spans="1:10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5"/>
    </row>
    <row r="124" spans="1:10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5"/>
    </row>
    <row r="125" spans="1:10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5"/>
    </row>
    <row r="126" spans="1:10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5"/>
    </row>
    <row r="127" spans="1:10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5"/>
    </row>
    <row r="128" spans="1:10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5"/>
    </row>
    <row r="129" spans="1:10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5"/>
    </row>
    <row r="130" spans="1:1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5"/>
    </row>
    <row r="131" spans="1:10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5"/>
    </row>
    <row r="132" spans="1:10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5"/>
    </row>
    <row r="133" spans="1:10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5"/>
    </row>
    <row r="134" spans="1:10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5"/>
    </row>
    <row r="135" spans="1:10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5"/>
    </row>
    <row r="136" spans="1:10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5"/>
    </row>
    <row r="137" spans="1:10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5"/>
    </row>
    <row r="138" spans="1:10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5"/>
    </row>
    <row r="139" spans="1:10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5"/>
    </row>
    <row r="140" spans="1:1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5"/>
    </row>
    <row r="141" spans="1:10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5"/>
    </row>
    <row r="142" spans="1:10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5"/>
    </row>
    <row r="143" spans="1:10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5"/>
    </row>
    <row r="144" spans="1:10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5"/>
    </row>
    <row r="145" spans="1:10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5"/>
    </row>
    <row r="146" spans="1:10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5"/>
    </row>
    <row r="147" spans="1:10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5"/>
    </row>
    <row r="148" spans="1:10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5"/>
    </row>
    <row r="149" spans="1:10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5"/>
    </row>
    <row r="150" spans="1:1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5"/>
    </row>
    <row r="151" spans="1:10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5"/>
    </row>
    <row r="152" spans="1:10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5"/>
    </row>
    <row r="153" spans="1:10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5"/>
    </row>
    <row r="154" spans="1:10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5"/>
    </row>
    <row r="155" spans="1:10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5"/>
    </row>
    <row r="156" spans="1:10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5"/>
    </row>
    <row r="157" spans="1:10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5"/>
    </row>
    <row r="158" spans="1:10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5"/>
    </row>
    <row r="159" spans="1:10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5"/>
    </row>
    <row r="160" spans="1:1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5"/>
    </row>
    <row r="161" spans="1:10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5"/>
    </row>
    <row r="162" spans="1:10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5"/>
    </row>
    <row r="163" spans="1:10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5"/>
    </row>
    <row r="164" spans="1:10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5"/>
    </row>
    <row r="165" spans="1:10" ht="12.75" customHeight="1">
      <c r="A165" s="22"/>
      <c r="J165" s="3"/>
    </row>
    <row r="166" spans="1:10" ht="12.75" customHeight="1">
      <c r="A166" s="22"/>
      <c r="J166" s="3"/>
    </row>
    <row r="167" spans="1:10" ht="12.75" customHeight="1">
      <c r="A167" s="22"/>
      <c r="J167" s="3"/>
    </row>
    <row r="168" spans="1:10" ht="12.75" customHeight="1">
      <c r="A168" s="22"/>
      <c r="J168" s="3"/>
    </row>
    <row r="169" spans="1:10" ht="12.75" customHeight="1">
      <c r="A169" s="22"/>
      <c r="J169" s="3"/>
    </row>
    <row r="170" spans="1:10" ht="12.75" customHeight="1">
      <c r="A170" s="22"/>
      <c r="J170" s="3"/>
    </row>
    <row r="171" spans="1:10" ht="12.75" customHeight="1">
      <c r="A171" s="22"/>
      <c r="J171" s="3"/>
    </row>
    <row r="172" spans="1:10" ht="12.75" customHeight="1">
      <c r="A172" s="22"/>
      <c r="J172" s="3"/>
    </row>
    <row r="173" spans="1:10" ht="12.75" customHeight="1">
      <c r="A173" s="22"/>
      <c r="J173" s="3"/>
    </row>
    <row r="174" spans="1:10" ht="12.75" customHeight="1">
      <c r="A174" s="22"/>
      <c r="J174" s="3"/>
    </row>
    <row r="175" spans="1:10" ht="12.75" customHeight="1">
      <c r="A175" s="22"/>
      <c r="J175" s="3"/>
    </row>
    <row r="176" spans="1:10" ht="12.75" customHeight="1">
      <c r="A176" s="22"/>
      <c r="J176" s="3"/>
    </row>
    <row r="177" spans="1:10" ht="12.75" customHeight="1">
      <c r="A177" s="22"/>
      <c r="J177" s="3"/>
    </row>
    <row r="178" spans="1:10" ht="12.75" customHeight="1">
      <c r="A178" s="22"/>
      <c r="J178" s="3"/>
    </row>
    <row r="179" spans="1:10" ht="12.75" customHeight="1">
      <c r="A179" s="22"/>
      <c r="J179" s="3"/>
    </row>
    <row r="180" spans="1:10" ht="12.75" customHeight="1">
      <c r="A180" s="22"/>
      <c r="J180" s="3"/>
    </row>
    <row r="181" spans="1:10" ht="12.75" customHeight="1">
      <c r="A181" s="22"/>
      <c r="J181" s="3"/>
    </row>
    <row r="182" spans="1:10" ht="12.75" customHeight="1">
      <c r="A182" s="22"/>
      <c r="J182" s="3"/>
    </row>
    <row r="183" spans="1:10" ht="12.75" customHeight="1">
      <c r="A183" s="22"/>
      <c r="J183" s="3"/>
    </row>
    <row r="184" spans="1:10" ht="12.75" customHeight="1">
      <c r="A184" s="22"/>
      <c r="J184" s="3"/>
    </row>
    <row r="185" spans="1:10" ht="12.75" customHeight="1">
      <c r="A185" s="22"/>
      <c r="J185" s="3"/>
    </row>
    <row r="186" spans="1:10" ht="12.75" customHeight="1">
      <c r="A186" s="22"/>
      <c r="J186" s="3"/>
    </row>
    <row r="187" spans="1:10" ht="12.75" customHeight="1">
      <c r="A187" s="22"/>
      <c r="J187" s="3"/>
    </row>
    <row r="188" spans="1:10" ht="12.75" customHeight="1">
      <c r="A188" s="22"/>
      <c r="J188" s="3"/>
    </row>
    <row r="189" spans="1:10" ht="12.75" customHeight="1">
      <c r="A189" s="22"/>
      <c r="J189" s="3"/>
    </row>
    <row r="190" spans="1:10" ht="12.75" customHeight="1">
      <c r="A190" s="22"/>
      <c r="J190" s="3"/>
    </row>
    <row r="191" spans="1:10" ht="12.75" customHeight="1">
      <c r="A191" s="22"/>
      <c r="J191" s="3"/>
    </row>
    <row r="192" spans="1:10" ht="12.75" customHeight="1">
      <c r="A192" s="22"/>
      <c r="J192" s="3"/>
    </row>
    <row r="193" spans="1:10" ht="12.75" customHeight="1">
      <c r="A193" s="22"/>
      <c r="J193" s="3"/>
    </row>
    <row r="194" spans="1:10" ht="12.75" customHeight="1">
      <c r="A194" s="22"/>
      <c r="J194" s="3"/>
    </row>
    <row r="195" spans="1:10" ht="12.75" customHeight="1">
      <c r="A195" s="22"/>
      <c r="J195" s="3"/>
    </row>
    <row r="196" spans="1:10" ht="12.75" customHeight="1">
      <c r="A196" s="22"/>
      <c r="J196" s="3"/>
    </row>
    <row r="197" spans="1:10" ht="12.75" customHeight="1">
      <c r="A197" s="22"/>
      <c r="J197" s="3"/>
    </row>
    <row r="198" spans="1:10" ht="12.75" customHeight="1">
      <c r="A198" s="22"/>
      <c r="J198" s="3"/>
    </row>
    <row r="199" spans="1:10" ht="12.75" customHeight="1">
      <c r="A199" s="22"/>
      <c r="J199" s="3"/>
    </row>
    <row r="200" spans="1:10" ht="12.75" customHeight="1">
      <c r="A200" s="22"/>
      <c r="J200" s="3"/>
    </row>
    <row r="201" spans="1:10" ht="12.75" customHeight="1">
      <c r="A201" s="22"/>
      <c r="J201" s="3"/>
    </row>
    <row r="202" spans="1:10" ht="12.75" customHeight="1">
      <c r="A202" s="22"/>
      <c r="J202" s="3"/>
    </row>
    <row r="203" spans="1:10" ht="12.75" customHeight="1">
      <c r="A203" s="22"/>
      <c r="J203" s="3"/>
    </row>
    <row r="204" spans="1:10" ht="12.75" customHeight="1">
      <c r="A204" s="22"/>
      <c r="J204" s="3"/>
    </row>
    <row r="205" spans="1:10" ht="12.75" customHeight="1">
      <c r="A205" s="22"/>
      <c r="J205" s="3"/>
    </row>
    <row r="206" spans="1:10" ht="12.75" customHeight="1">
      <c r="A206" s="22"/>
      <c r="J206" s="3"/>
    </row>
    <row r="207" spans="1:10" ht="12.75" customHeight="1">
      <c r="A207" s="22"/>
      <c r="J207" s="3"/>
    </row>
    <row r="208" spans="1:10" ht="12.75" customHeight="1">
      <c r="A208" s="22"/>
      <c r="J208" s="3"/>
    </row>
    <row r="209" spans="1:10" ht="12.75" customHeight="1">
      <c r="A209" s="22"/>
      <c r="J209" s="3"/>
    </row>
    <row r="210" spans="1:10" ht="12.75" customHeight="1">
      <c r="A210" s="22"/>
      <c r="J210" s="3"/>
    </row>
    <row r="211" spans="1:10" ht="12.75" customHeight="1">
      <c r="A211" s="22"/>
      <c r="J211" s="3"/>
    </row>
    <row r="212" spans="1:10" ht="12.75" customHeight="1">
      <c r="A212" s="22"/>
      <c r="J212" s="3"/>
    </row>
    <row r="213" spans="1:10" ht="12.75" customHeight="1">
      <c r="A213" s="22"/>
      <c r="J213" s="3"/>
    </row>
    <row r="214" spans="1:10" ht="12.75" customHeight="1">
      <c r="A214" s="22"/>
      <c r="J214" s="3"/>
    </row>
    <row r="215" spans="1:10" ht="12.75" customHeight="1">
      <c r="A215" s="22"/>
      <c r="J215" s="3"/>
    </row>
    <row r="216" spans="1:10" ht="12.75" customHeight="1">
      <c r="A216" s="22"/>
      <c r="J216" s="3"/>
    </row>
    <row r="217" spans="1:10" ht="12.75" customHeight="1">
      <c r="A217" s="22"/>
      <c r="J217" s="3"/>
    </row>
    <row r="218" spans="1:10" ht="12.75" customHeight="1">
      <c r="A218" s="22"/>
      <c r="J218" s="3"/>
    </row>
    <row r="219" spans="1:10" ht="12.75" customHeight="1">
      <c r="A219" s="22"/>
      <c r="J219" s="3"/>
    </row>
    <row r="220" spans="1:10" ht="12.75" customHeight="1">
      <c r="A220" s="22"/>
      <c r="J220" s="3"/>
    </row>
    <row r="221" spans="1:10" ht="12.75" customHeight="1">
      <c r="A221" s="22"/>
      <c r="J221" s="3"/>
    </row>
    <row r="222" spans="1:10" ht="12.75" customHeight="1">
      <c r="A222" s="22"/>
      <c r="J222" s="3"/>
    </row>
    <row r="223" spans="1:10" ht="12.75" customHeight="1">
      <c r="A223" s="22"/>
      <c r="J223" s="3"/>
    </row>
    <row r="224" spans="1:10" ht="12.75" customHeight="1">
      <c r="A224" s="22"/>
      <c r="J224" s="3"/>
    </row>
    <row r="225" spans="1:10" ht="12.75" customHeight="1">
      <c r="A225" s="22"/>
      <c r="J225" s="3"/>
    </row>
    <row r="226" spans="1:10" ht="12.75" customHeight="1">
      <c r="A226" s="22"/>
      <c r="J226" s="3"/>
    </row>
    <row r="227" spans="1:10" ht="12.75" customHeight="1">
      <c r="A227" s="22"/>
      <c r="J227" s="3"/>
    </row>
    <row r="228" spans="1:10" ht="12.75" customHeight="1">
      <c r="A228" s="22"/>
      <c r="J228" s="3"/>
    </row>
    <row r="229" spans="1:10" ht="12.75" customHeight="1">
      <c r="A229" s="22"/>
      <c r="J229" s="3"/>
    </row>
    <row r="230" spans="1:10" ht="12.75" customHeight="1">
      <c r="A230" s="22"/>
      <c r="J230" s="3"/>
    </row>
    <row r="231" spans="1:10" ht="12.75" customHeight="1">
      <c r="A231" s="22"/>
      <c r="J231" s="3"/>
    </row>
    <row r="232" spans="1:10" ht="12.75" customHeight="1">
      <c r="A232" s="22"/>
      <c r="J232" s="3"/>
    </row>
    <row r="233" spans="1:10" ht="12.75" customHeight="1">
      <c r="A233" s="22"/>
      <c r="J233" s="3"/>
    </row>
    <row r="234" spans="1:10" ht="12.75" customHeight="1">
      <c r="A234" s="22"/>
      <c r="J234" s="3"/>
    </row>
    <row r="235" spans="1:10" ht="12.75" customHeight="1">
      <c r="A235" s="22"/>
      <c r="J235" s="3"/>
    </row>
    <row r="236" spans="1:10" ht="12.75" customHeight="1">
      <c r="A236" s="22"/>
      <c r="J236" s="3"/>
    </row>
    <row r="237" spans="1:10" ht="12.75" customHeight="1">
      <c r="A237" s="22"/>
      <c r="J237" s="3"/>
    </row>
    <row r="238" spans="1:10" ht="12.75" customHeight="1">
      <c r="A238" s="22"/>
      <c r="J238" s="3"/>
    </row>
    <row r="239" spans="1:10" ht="12.75" customHeight="1">
      <c r="A239" s="22"/>
      <c r="J239" s="3"/>
    </row>
    <row r="240" spans="1:10" ht="12.75" customHeight="1">
      <c r="A240" s="22"/>
      <c r="J240" s="3"/>
    </row>
    <row r="241" spans="1:10" ht="12.75" customHeight="1">
      <c r="A241" s="22"/>
      <c r="J241" s="3"/>
    </row>
    <row r="242" spans="1:10" ht="12.75" customHeight="1">
      <c r="A242" s="22"/>
      <c r="J242" s="3"/>
    </row>
    <row r="243" spans="1:10" ht="12.75" customHeight="1">
      <c r="A243" s="22"/>
      <c r="J243" s="3"/>
    </row>
    <row r="244" spans="1:10" ht="12.75" customHeight="1">
      <c r="A244" s="22"/>
      <c r="J244" s="3"/>
    </row>
    <row r="245" spans="1:10" ht="12.75" customHeight="1">
      <c r="A245" s="22"/>
      <c r="J245" s="3"/>
    </row>
    <row r="246" spans="1:10" ht="12.75" customHeight="1">
      <c r="A246" s="22"/>
      <c r="J246" s="3"/>
    </row>
    <row r="247" spans="1:10" ht="12.75" customHeight="1">
      <c r="A247" s="22"/>
      <c r="J247" s="3"/>
    </row>
    <row r="248" spans="1:10" ht="12.75" customHeight="1">
      <c r="A248" s="22"/>
      <c r="J248" s="3"/>
    </row>
    <row r="249" spans="1:10" ht="12.75" customHeight="1">
      <c r="A249" s="22"/>
      <c r="J249" s="3"/>
    </row>
    <row r="250" spans="1:10" ht="12.75" customHeight="1">
      <c r="A250" s="22"/>
      <c r="J250" s="3"/>
    </row>
    <row r="251" spans="1:10" ht="12.75" customHeight="1">
      <c r="A251" s="22"/>
      <c r="J251" s="3"/>
    </row>
    <row r="252" spans="1:10" ht="12.75" customHeight="1">
      <c r="A252" s="22"/>
      <c r="J252" s="3"/>
    </row>
    <row r="253" spans="1:10" ht="12.75" customHeight="1">
      <c r="A253" s="22"/>
      <c r="J253" s="3"/>
    </row>
    <row r="254" spans="1:10" ht="12.75" customHeight="1">
      <c r="A254" s="22"/>
      <c r="J254" s="3"/>
    </row>
    <row r="255" spans="1:10" ht="12.75" customHeight="1">
      <c r="A255" s="22"/>
      <c r="J255" s="3"/>
    </row>
    <row r="256" spans="1:10" ht="12.75" customHeight="1">
      <c r="A256" s="22"/>
      <c r="J256" s="3"/>
    </row>
    <row r="257" spans="1:10" ht="12.75" customHeight="1">
      <c r="A257" s="22"/>
      <c r="J257" s="3"/>
    </row>
    <row r="258" spans="1:10" ht="12.75" customHeight="1">
      <c r="A258" s="22"/>
      <c r="J258" s="3"/>
    </row>
    <row r="259" spans="1:10" ht="12.75" customHeight="1">
      <c r="A259" s="22"/>
      <c r="J259" s="3"/>
    </row>
    <row r="260" spans="1:10" ht="12.75" customHeight="1">
      <c r="A260" s="22"/>
      <c r="J260" s="3"/>
    </row>
    <row r="261" spans="1:10" ht="12.75" customHeight="1">
      <c r="A261" s="22"/>
      <c r="J261" s="3"/>
    </row>
    <row r="262" spans="1:10" ht="12.75" customHeight="1">
      <c r="A262" s="22"/>
      <c r="J262" s="3"/>
    </row>
    <row r="263" spans="1:10" ht="12.75" customHeight="1">
      <c r="A263" s="22"/>
      <c r="J263" s="3"/>
    </row>
    <row r="264" spans="1:10" ht="12.75" customHeight="1">
      <c r="A264" s="22"/>
      <c r="J264" s="3"/>
    </row>
    <row r="265" spans="1:10" ht="12.75" customHeight="1">
      <c r="A265" s="22"/>
      <c r="J265" s="3"/>
    </row>
    <row r="266" spans="1:10" ht="12.75" customHeight="1">
      <c r="A266" s="22"/>
      <c r="J266" s="3"/>
    </row>
    <row r="267" spans="1:10" ht="12.75" customHeight="1">
      <c r="A267" s="22"/>
      <c r="J267" s="3"/>
    </row>
    <row r="268" spans="1:10" ht="12.75" customHeight="1">
      <c r="A268" s="22"/>
      <c r="J268" s="3"/>
    </row>
    <row r="269" spans="1:10" ht="12.75" customHeight="1">
      <c r="A269" s="22"/>
      <c r="J269" s="3"/>
    </row>
    <row r="270" spans="1:10" ht="12.75" customHeight="1">
      <c r="A270" s="22"/>
      <c r="J270" s="3"/>
    </row>
    <row r="271" spans="1:10" ht="12.75" customHeight="1">
      <c r="A271" s="22"/>
      <c r="J271" s="3"/>
    </row>
    <row r="272" spans="1:10" ht="12.75" customHeight="1">
      <c r="A272" s="22"/>
      <c r="J272" s="3"/>
    </row>
    <row r="273" spans="1:10" ht="12.75" customHeight="1">
      <c r="A273" s="22"/>
      <c r="J273" s="3"/>
    </row>
    <row r="274" spans="1:10" ht="12.75" customHeight="1">
      <c r="A274" s="22"/>
      <c r="J274" s="3"/>
    </row>
    <row r="275" spans="1:10" ht="12.75" customHeight="1">
      <c r="A275" s="22"/>
      <c r="J275" s="3"/>
    </row>
    <row r="276" spans="1:10" ht="12.75" customHeight="1">
      <c r="A276" s="22"/>
      <c r="J276" s="3"/>
    </row>
    <row r="277" spans="1:10" ht="12.75" customHeight="1">
      <c r="A277" s="22"/>
      <c r="J277" s="3"/>
    </row>
    <row r="278" spans="1:10" ht="12.75" customHeight="1">
      <c r="A278" s="22"/>
      <c r="J278" s="3"/>
    </row>
    <row r="279" spans="1:10" ht="12.75" customHeight="1">
      <c r="A279" s="22"/>
      <c r="J279" s="3"/>
    </row>
    <row r="280" spans="1:10" ht="12.75" customHeight="1">
      <c r="A280" s="22"/>
      <c r="J280" s="3"/>
    </row>
    <row r="281" spans="1:10" ht="12.75" customHeight="1">
      <c r="A281" s="22"/>
      <c r="J281" s="3"/>
    </row>
    <row r="282" spans="1:10" ht="12.75" customHeight="1">
      <c r="A282" s="22"/>
      <c r="J282" s="3"/>
    </row>
    <row r="283" spans="1:10" ht="12.75" customHeight="1">
      <c r="A283" s="22"/>
      <c r="J283" s="3"/>
    </row>
    <row r="284" spans="1:10" ht="12.75" customHeight="1">
      <c r="A284" s="22"/>
      <c r="J284" s="3"/>
    </row>
    <row r="285" spans="1:10" ht="12.75" customHeight="1">
      <c r="A285" s="22"/>
      <c r="J285" s="3"/>
    </row>
    <row r="286" spans="1:10" ht="12.75" customHeight="1">
      <c r="A286" s="22"/>
      <c r="J286" s="3"/>
    </row>
    <row r="287" spans="1:10" ht="12.75" customHeight="1">
      <c r="A287" s="22"/>
      <c r="J287" s="3"/>
    </row>
    <row r="288" spans="1:10" ht="12.75" customHeight="1">
      <c r="A288" s="22"/>
      <c r="J288" s="3"/>
    </row>
    <row r="289" spans="1:10" ht="12.75" customHeight="1">
      <c r="A289" s="22"/>
      <c r="J289" s="3"/>
    </row>
    <row r="290" spans="1:10" ht="12.75" customHeight="1">
      <c r="A290" s="22"/>
      <c r="J290" s="3"/>
    </row>
    <row r="291" spans="1:10" ht="12.75" customHeight="1">
      <c r="A291" s="22"/>
      <c r="J291" s="3"/>
    </row>
    <row r="292" spans="1:10" ht="12.75" customHeight="1">
      <c r="A292" s="22"/>
      <c r="J292" s="3"/>
    </row>
    <row r="293" spans="1:10" ht="12.75" customHeight="1">
      <c r="A293" s="22"/>
      <c r="J293" s="3"/>
    </row>
    <row r="294" spans="1:10" ht="12.75" customHeight="1">
      <c r="A294" s="22"/>
      <c r="J294" s="3"/>
    </row>
    <row r="295" spans="1:10" ht="12.75" customHeight="1">
      <c r="A295" s="22"/>
      <c r="J295" s="3"/>
    </row>
    <row r="296" spans="1:10" ht="12.75" customHeight="1">
      <c r="A296" s="22"/>
      <c r="J296" s="3"/>
    </row>
    <row r="297" spans="1:10" ht="12.75" customHeight="1">
      <c r="A297" s="22"/>
      <c r="J297" s="3"/>
    </row>
    <row r="298" spans="1:10" ht="12.75" customHeight="1">
      <c r="A298" s="22"/>
      <c r="J298" s="3"/>
    </row>
    <row r="299" spans="1:10" ht="12.75" customHeight="1">
      <c r="A299" s="22"/>
      <c r="J299" s="3"/>
    </row>
    <row r="300" spans="1:10" ht="12.75" customHeight="1">
      <c r="A300" s="22"/>
      <c r="J300" s="3"/>
    </row>
    <row r="301" spans="1:10" ht="12.75" customHeight="1">
      <c r="A301" s="22"/>
      <c r="J301" s="3"/>
    </row>
    <row r="302" spans="1:10" ht="12.75" customHeight="1">
      <c r="A302" s="22"/>
      <c r="J302" s="3"/>
    </row>
    <row r="303" spans="1:10" ht="12.75" customHeight="1">
      <c r="A303" s="22"/>
      <c r="J303" s="3"/>
    </row>
    <row r="304" spans="1:10" ht="12.75" customHeight="1">
      <c r="A304" s="22"/>
      <c r="J304" s="3"/>
    </row>
    <row r="305" spans="1:10" ht="12.75" customHeight="1">
      <c r="A305" s="22"/>
      <c r="J305" s="3"/>
    </row>
    <row r="306" spans="1:10" ht="12.75" customHeight="1">
      <c r="A306" s="22"/>
      <c r="J306" s="3"/>
    </row>
    <row r="307" spans="1:10" ht="12.75" customHeight="1">
      <c r="A307" s="22"/>
      <c r="J307" s="3"/>
    </row>
    <row r="308" spans="1:10" ht="12.75" customHeight="1">
      <c r="A308" s="22"/>
      <c r="J308" s="3"/>
    </row>
    <row r="309" spans="1:10" ht="12.75" customHeight="1">
      <c r="A309" s="22"/>
      <c r="J309" s="3"/>
    </row>
    <row r="310" spans="1:10" ht="12.75" customHeight="1">
      <c r="A310" s="22"/>
      <c r="J310" s="3"/>
    </row>
    <row r="311" spans="1:10" ht="12.75" customHeight="1">
      <c r="A311" s="22"/>
      <c r="J311" s="3"/>
    </row>
    <row r="312" spans="1:10" ht="12.75" customHeight="1">
      <c r="A312" s="22"/>
      <c r="J312" s="3"/>
    </row>
    <row r="313" spans="1:10" ht="12.75" customHeight="1">
      <c r="A313" s="22"/>
      <c r="J313" s="3"/>
    </row>
    <row r="314" spans="1:10" ht="12.75" customHeight="1">
      <c r="A314" s="22"/>
      <c r="J314" s="3"/>
    </row>
    <row r="315" spans="1:10" ht="12.75" customHeight="1">
      <c r="A315" s="22"/>
      <c r="J315" s="3"/>
    </row>
    <row r="316" spans="1:10" ht="12.75" customHeight="1">
      <c r="A316" s="22"/>
      <c r="J316" s="3"/>
    </row>
    <row r="317" spans="1:10" ht="12.75" customHeight="1">
      <c r="A317" s="22"/>
      <c r="J317" s="3"/>
    </row>
    <row r="318" spans="1:10" ht="12.75" customHeight="1">
      <c r="A318" s="22"/>
      <c r="J318" s="3"/>
    </row>
    <row r="319" spans="1:10" ht="12.75" customHeight="1">
      <c r="A319" s="22"/>
      <c r="J319" s="3"/>
    </row>
    <row r="320" spans="1:10" ht="12.75" customHeight="1">
      <c r="A320" s="22"/>
      <c r="J320" s="3"/>
    </row>
    <row r="321" spans="1:10" ht="12.75" customHeight="1">
      <c r="A321" s="22"/>
      <c r="J321" s="3"/>
    </row>
    <row r="322" spans="1:10" ht="12.75" customHeight="1">
      <c r="A322" s="22"/>
      <c r="J322" s="3"/>
    </row>
    <row r="323" spans="1:10" ht="12.75" customHeight="1">
      <c r="A323" s="22"/>
      <c r="J323" s="3"/>
    </row>
    <row r="324" spans="1:10" ht="12.75" customHeight="1">
      <c r="A324" s="22"/>
      <c r="J324" s="3"/>
    </row>
    <row r="325" spans="1:10" ht="12.75" customHeight="1">
      <c r="A325" s="22"/>
      <c r="J325" s="3"/>
    </row>
    <row r="326" spans="1:10" ht="12.75" customHeight="1">
      <c r="A326" s="22"/>
      <c r="J326" s="3"/>
    </row>
    <row r="327" spans="1:10" ht="12.75" customHeight="1">
      <c r="A327" s="22"/>
      <c r="J327" s="3"/>
    </row>
    <row r="328" spans="1:10" ht="12.75" customHeight="1">
      <c r="A328" s="22"/>
      <c r="J328" s="3"/>
    </row>
    <row r="329" spans="1:10" ht="12.75" customHeight="1">
      <c r="A329" s="22"/>
      <c r="J329" s="3"/>
    </row>
    <row r="330" spans="1:10" ht="12.75" customHeight="1">
      <c r="A330" s="22"/>
      <c r="J330" s="3"/>
    </row>
    <row r="331" spans="1:10" ht="12.75" customHeight="1">
      <c r="A331" s="22"/>
      <c r="J331" s="3"/>
    </row>
    <row r="332" spans="1:10" ht="12.75" customHeight="1">
      <c r="A332" s="22"/>
      <c r="J332" s="3"/>
    </row>
    <row r="333" spans="1:10" ht="12.75" customHeight="1">
      <c r="A333" s="22"/>
      <c r="J333" s="3"/>
    </row>
    <row r="334" spans="1:10" ht="12.75" customHeight="1">
      <c r="A334" s="22"/>
      <c r="J334" s="3"/>
    </row>
    <row r="335" spans="1:10" ht="12.75" customHeight="1">
      <c r="A335" s="22"/>
      <c r="J335" s="3"/>
    </row>
    <row r="336" spans="1:10" ht="12.75" customHeight="1">
      <c r="A336" s="22"/>
      <c r="J336" s="3"/>
    </row>
    <row r="337" spans="1:10" ht="12.75" customHeight="1">
      <c r="A337" s="22"/>
      <c r="J337" s="3"/>
    </row>
    <row r="338" spans="1:10" ht="12.75" customHeight="1">
      <c r="A338" s="22"/>
      <c r="J338" s="3"/>
    </row>
    <row r="339" spans="1:10" ht="12.75" customHeight="1">
      <c r="A339" s="22"/>
      <c r="J339" s="3"/>
    </row>
    <row r="340" spans="1:10" ht="12.75" customHeight="1">
      <c r="A340" s="22"/>
      <c r="J340" s="3"/>
    </row>
    <row r="341" spans="1:10" ht="12.75" customHeight="1">
      <c r="A341" s="22"/>
      <c r="J341" s="3"/>
    </row>
    <row r="342" spans="1:10" ht="12.75" customHeight="1">
      <c r="A342" s="22"/>
      <c r="J342" s="3"/>
    </row>
    <row r="343" spans="1:10" ht="12.75" customHeight="1">
      <c r="A343" s="22"/>
      <c r="J343" s="3"/>
    </row>
    <row r="344" spans="1:10" ht="12.75" customHeight="1">
      <c r="A344" s="22"/>
      <c r="J344" s="3"/>
    </row>
    <row r="345" spans="1:10" ht="12.75" customHeight="1">
      <c r="A345" s="22"/>
      <c r="J345" s="3"/>
    </row>
    <row r="346" spans="1:10" ht="12.75" customHeight="1">
      <c r="A346" s="22"/>
      <c r="J346" s="3"/>
    </row>
    <row r="347" spans="1:10" ht="12.75" customHeight="1">
      <c r="A347" s="22"/>
      <c r="J347" s="3"/>
    </row>
    <row r="348" spans="1:10" ht="12.75" customHeight="1">
      <c r="A348" s="22"/>
      <c r="J348" s="3"/>
    </row>
    <row r="349" spans="1:10" ht="12.75" customHeight="1">
      <c r="A349" s="22"/>
      <c r="J349" s="3"/>
    </row>
    <row r="350" spans="1:10" ht="12.75" customHeight="1">
      <c r="A350" s="22"/>
      <c r="J350" s="3"/>
    </row>
    <row r="351" spans="1:10" ht="12.75" customHeight="1">
      <c r="A351" s="22"/>
      <c r="J351" s="3"/>
    </row>
    <row r="352" spans="1:10" ht="12.75" customHeight="1">
      <c r="A352" s="22"/>
      <c r="J352" s="3"/>
    </row>
    <row r="353" spans="1:10" ht="12.75" customHeight="1">
      <c r="A353" s="22"/>
      <c r="J353" s="3"/>
    </row>
    <row r="354" spans="1:10" ht="12.75" customHeight="1">
      <c r="A354" s="22"/>
      <c r="J354" s="3"/>
    </row>
    <row r="355" spans="1:10" ht="12.75" customHeight="1">
      <c r="A355" s="22"/>
      <c r="J355" s="3"/>
    </row>
    <row r="356" spans="1:10" ht="12.75" customHeight="1">
      <c r="A356" s="22"/>
      <c r="J356" s="3"/>
    </row>
    <row r="357" spans="1:10" ht="12.75" customHeight="1">
      <c r="A357" s="22"/>
      <c r="J357" s="3"/>
    </row>
    <row r="358" spans="1:10" ht="12.75" customHeight="1">
      <c r="A358" s="22"/>
      <c r="J358" s="3"/>
    </row>
    <row r="359" spans="1:10" ht="12.75" customHeight="1">
      <c r="A359" s="22"/>
      <c r="J359" s="3"/>
    </row>
    <row r="360" spans="1:10" ht="12.75" customHeight="1">
      <c r="A360" s="22"/>
      <c r="J360" s="3"/>
    </row>
    <row r="361" spans="1:10" ht="12.75" customHeight="1">
      <c r="A361" s="22"/>
      <c r="J361" s="3"/>
    </row>
    <row r="362" spans="1:10" ht="12.75" customHeight="1">
      <c r="A362" s="22"/>
      <c r="J362" s="3"/>
    </row>
    <row r="363" spans="1:10" ht="12.75" customHeight="1">
      <c r="A363" s="22"/>
      <c r="J363" s="3"/>
    </row>
    <row r="364" spans="1:10" ht="12.75" customHeight="1">
      <c r="A364" s="22"/>
      <c r="J364" s="3"/>
    </row>
    <row r="365" spans="1:10" ht="12.75" customHeight="1">
      <c r="A365" s="22"/>
      <c r="J365" s="3"/>
    </row>
    <row r="366" spans="1:10" ht="12.75" customHeight="1">
      <c r="A366" s="22"/>
      <c r="J366" s="3"/>
    </row>
    <row r="367" spans="1:10" ht="12.75" customHeight="1">
      <c r="A367" s="22"/>
      <c r="J367" s="3"/>
    </row>
    <row r="368" spans="1:10" ht="12.75" customHeight="1">
      <c r="A368" s="22"/>
      <c r="J368" s="3"/>
    </row>
    <row r="369" spans="1:10" ht="12.75" customHeight="1">
      <c r="A369" s="22"/>
      <c r="J369" s="3"/>
    </row>
    <row r="370" spans="1:10" ht="12.75" customHeight="1">
      <c r="A370" s="22"/>
      <c r="J370" s="3"/>
    </row>
    <row r="371" spans="1:10" ht="12.75" customHeight="1">
      <c r="A371" s="22"/>
      <c r="J371" s="3"/>
    </row>
    <row r="372" spans="1:10" ht="12.75" customHeight="1">
      <c r="A372" s="22"/>
      <c r="J372" s="3"/>
    </row>
    <row r="373" spans="1:10" ht="12.75" customHeight="1">
      <c r="A373" s="22"/>
      <c r="J373" s="3"/>
    </row>
    <row r="374" spans="1:10" ht="12.75" customHeight="1">
      <c r="A374" s="22"/>
      <c r="J374" s="3"/>
    </row>
    <row r="375" spans="1:10" ht="12.75" customHeight="1">
      <c r="A375" s="22"/>
      <c r="J375" s="3"/>
    </row>
    <row r="376" spans="1:10" ht="12.75" customHeight="1">
      <c r="A376" s="22"/>
      <c r="J376" s="3"/>
    </row>
    <row r="377" spans="1:10" ht="12.75" customHeight="1">
      <c r="A377" s="22"/>
      <c r="J377" s="3"/>
    </row>
    <row r="378" spans="1:10" ht="12.75" customHeight="1">
      <c r="A378" s="22"/>
      <c r="J378" s="3"/>
    </row>
    <row r="379" spans="1:10" ht="12.75" customHeight="1">
      <c r="A379" s="22"/>
      <c r="J379" s="3"/>
    </row>
    <row r="380" spans="1:10" ht="12.75" customHeight="1">
      <c r="A380" s="22"/>
      <c r="J380" s="3"/>
    </row>
    <row r="381" spans="1:10" ht="12.75" customHeight="1">
      <c r="A381" s="22"/>
      <c r="J381" s="3"/>
    </row>
    <row r="382" spans="1:10" ht="12.75" customHeight="1">
      <c r="A382" s="22"/>
      <c r="J382" s="3"/>
    </row>
    <row r="383" spans="1:10" ht="12.75" customHeight="1">
      <c r="A383" s="22"/>
      <c r="J383" s="3"/>
    </row>
    <row r="384" spans="1:10" ht="12.75" customHeight="1">
      <c r="A384" s="22"/>
      <c r="J384" s="3"/>
    </row>
    <row r="385" spans="1:10" ht="12.75" customHeight="1">
      <c r="A385" s="22"/>
      <c r="J385" s="3"/>
    </row>
    <row r="386" spans="1:10" ht="12.75" customHeight="1">
      <c r="A386" s="22"/>
      <c r="J386" s="3"/>
    </row>
    <row r="387" spans="1:10" ht="12.75" customHeight="1">
      <c r="A387" s="22"/>
      <c r="J387" s="3"/>
    </row>
    <row r="388" spans="1:10" ht="12.75" customHeight="1">
      <c r="A388" s="22"/>
      <c r="J388" s="3"/>
    </row>
    <row r="389" spans="1:10" ht="12.75" customHeight="1">
      <c r="A389" s="22"/>
      <c r="J389" s="3"/>
    </row>
    <row r="390" spans="1:10" ht="12.75" customHeight="1">
      <c r="A390" s="22"/>
      <c r="J390" s="3"/>
    </row>
    <row r="391" spans="1:10" ht="12.75" customHeight="1">
      <c r="A391" s="22"/>
      <c r="J391" s="3"/>
    </row>
    <row r="392" spans="1:10" ht="12.75" customHeight="1">
      <c r="A392" s="22"/>
      <c r="J392" s="3"/>
    </row>
    <row r="393" spans="1:10" ht="12.75" customHeight="1">
      <c r="A393" s="22"/>
      <c r="J393" s="3"/>
    </row>
    <row r="394" spans="1:10" ht="12.75" customHeight="1">
      <c r="A394" s="22"/>
      <c r="J394" s="3"/>
    </row>
    <row r="395" spans="1:10" ht="12.75" customHeight="1">
      <c r="A395" s="22"/>
      <c r="J395" s="3"/>
    </row>
    <row r="396" spans="1:10" ht="12.75" customHeight="1">
      <c r="A396" s="22"/>
      <c r="J396" s="3"/>
    </row>
    <row r="397" spans="1:10" ht="12.75" customHeight="1">
      <c r="A397" s="22"/>
      <c r="J397" s="3"/>
    </row>
    <row r="398" spans="1:10" ht="12.75" customHeight="1">
      <c r="A398" s="22"/>
      <c r="J398" s="3"/>
    </row>
    <row r="399" spans="1:10" ht="12.75" customHeight="1">
      <c r="A399" s="22"/>
      <c r="J399" s="3"/>
    </row>
    <row r="400" spans="1:10" ht="12.75" customHeight="1">
      <c r="A400" s="22"/>
      <c r="J400" s="3"/>
    </row>
    <row r="401" spans="1:10" ht="12.75" customHeight="1">
      <c r="A401" s="22"/>
      <c r="J401" s="3"/>
    </row>
    <row r="402" spans="1:10" ht="12.75" customHeight="1">
      <c r="A402" s="22"/>
      <c r="J402" s="3"/>
    </row>
    <row r="403" spans="1:10" ht="12.75" customHeight="1">
      <c r="A403" s="22"/>
      <c r="J403" s="3"/>
    </row>
    <row r="404" spans="1:10" ht="12.75" customHeight="1">
      <c r="A404" s="22"/>
      <c r="J404" s="3"/>
    </row>
    <row r="405" spans="1:10" ht="12.75" customHeight="1">
      <c r="A405" s="22"/>
      <c r="J405" s="3"/>
    </row>
    <row r="406" spans="1:10" ht="12.75" customHeight="1">
      <c r="A406" s="22"/>
      <c r="J406" s="3"/>
    </row>
    <row r="407" spans="1:10" ht="12.75" customHeight="1">
      <c r="A407" s="22"/>
      <c r="J407" s="3"/>
    </row>
    <row r="408" spans="1:10" ht="12.75" customHeight="1">
      <c r="A408" s="22"/>
      <c r="J408" s="3"/>
    </row>
    <row r="409" spans="1:10" ht="12.75" customHeight="1">
      <c r="A409" s="22"/>
      <c r="J409" s="3"/>
    </row>
    <row r="410" spans="1:10" ht="12.75" customHeight="1">
      <c r="A410" s="22"/>
      <c r="J410" s="3"/>
    </row>
    <row r="411" spans="1:10" ht="12.75" customHeight="1">
      <c r="A411" s="22"/>
      <c r="J411" s="3"/>
    </row>
    <row r="412" spans="1:10" ht="12.75" customHeight="1">
      <c r="A412" s="22"/>
      <c r="J412" s="3"/>
    </row>
    <row r="413" spans="1:10" ht="12.75" customHeight="1">
      <c r="A413" s="22"/>
      <c r="J413" s="3"/>
    </row>
    <row r="414" spans="1:10" ht="12.75" customHeight="1">
      <c r="A414" s="22"/>
      <c r="J414" s="3"/>
    </row>
    <row r="415" spans="1:10" ht="12.75" customHeight="1">
      <c r="A415" s="22"/>
      <c r="J415" s="3"/>
    </row>
    <row r="416" spans="1:10" ht="12.75" customHeight="1">
      <c r="A416" s="22"/>
      <c r="J416" s="3"/>
    </row>
    <row r="417" spans="1:10" ht="12.75" customHeight="1">
      <c r="A417" s="22"/>
      <c r="J417" s="3"/>
    </row>
    <row r="418" spans="1:10" ht="12.75" customHeight="1">
      <c r="A418" s="22"/>
      <c r="J418" s="3"/>
    </row>
    <row r="419" spans="1:10" ht="12.75" customHeight="1">
      <c r="A419" s="22"/>
      <c r="J419" s="3"/>
    </row>
    <row r="420" spans="1:10" ht="12.75" customHeight="1">
      <c r="A420" s="22"/>
      <c r="J420" s="3"/>
    </row>
    <row r="421" spans="1:10" ht="12.75" customHeight="1">
      <c r="A421" s="22"/>
      <c r="J421" s="3"/>
    </row>
    <row r="422" spans="1:10" ht="12.75" customHeight="1">
      <c r="A422" s="22"/>
      <c r="J422" s="3"/>
    </row>
    <row r="423" spans="1:10" ht="12.75" customHeight="1">
      <c r="A423" s="22"/>
      <c r="J423" s="3"/>
    </row>
    <row r="424" spans="1:10" ht="12.75" customHeight="1">
      <c r="A424" s="22"/>
      <c r="J424" s="3"/>
    </row>
    <row r="425" spans="1:10" ht="12.75" customHeight="1">
      <c r="A425" s="22"/>
      <c r="J425" s="3"/>
    </row>
    <row r="426" spans="1:10" ht="12.75" customHeight="1">
      <c r="A426" s="22"/>
      <c r="J426" s="3"/>
    </row>
    <row r="427" spans="1:10" ht="12.75" customHeight="1">
      <c r="A427" s="22"/>
      <c r="J427" s="3"/>
    </row>
    <row r="428" spans="1:10" ht="12.75" customHeight="1">
      <c r="A428" s="22"/>
      <c r="J428" s="3"/>
    </row>
    <row r="429" spans="1:10" ht="12.75" customHeight="1">
      <c r="A429" s="22"/>
      <c r="J429" s="3"/>
    </row>
    <row r="430" spans="1:10" ht="12.75" customHeight="1">
      <c r="A430" s="22"/>
      <c r="J430" s="3"/>
    </row>
    <row r="431" spans="1:10" ht="12.75" customHeight="1">
      <c r="A431" s="22"/>
      <c r="J431" s="3"/>
    </row>
    <row r="432" spans="1:10" ht="12.75" customHeight="1">
      <c r="A432" s="22"/>
      <c r="J432" s="3"/>
    </row>
    <row r="433" spans="1:10" ht="12.75" customHeight="1">
      <c r="A433" s="22"/>
      <c r="J433" s="3"/>
    </row>
    <row r="434" spans="1:10" ht="12.75" customHeight="1">
      <c r="A434" s="22"/>
      <c r="J434" s="3"/>
    </row>
    <row r="435" spans="1:10" ht="12.75" customHeight="1">
      <c r="A435" s="22"/>
      <c r="J435" s="3"/>
    </row>
    <row r="436" spans="1:10" ht="12.75" customHeight="1">
      <c r="A436" s="22"/>
      <c r="J436" s="3"/>
    </row>
    <row r="437" spans="1:10" ht="12.75" customHeight="1">
      <c r="A437" s="22"/>
      <c r="J437" s="3"/>
    </row>
    <row r="438" spans="1:10" ht="12.75" customHeight="1">
      <c r="A438" s="22"/>
      <c r="J438" s="3"/>
    </row>
    <row r="439" spans="1:10" ht="12.75" customHeight="1">
      <c r="A439" s="22"/>
      <c r="J439" s="3"/>
    </row>
    <row r="440" spans="1:10" ht="12.75" customHeight="1">
      <c r="A440" s="22"/>
      <c r="J440" s="3"/>
    </row>
    <row r="441" spans="1:10" ht="12.75" customHeight="1">
      <c r="A441" s="22"/>
      <c r="J441" s="3"/>
    </row>
    <row r="442" spans="1:10" ht="12.75" customHeight="1">
      <c r="A442" s="22"/>
      <c r="J442" s="3"/>
    </row>
    <row r="443" spans="1:10" ht="12.75" customHeight="1">
      <c r="A443" s="22"/>
      <c r="J443" s="3"/>
    </row>
    <row r="444" spans="1:10" ht="12.75" customHeight="1">
      <c r="A444" s="22"/>
      <c r="J444" s="3"/>
    </row>
    <row r="445" spans="1:10" ht="12.75" customHeight="1">
      <c r="A445" s="22"/>
      <c r="J445" s="3"/>
    </row>
    <row r="446" spans="1:10" ht="12.75" customHeight="1">
      <c r="A446" s="22"/>
      <c r="J446" s="3"/>
    </row>
    <row r="447" spans="1:10" ht="12.75" customHeight="1">
      <c r="A447" s="22"/>
      <c r="J447" s="3"/>
    </row>
    <row r="448" spans="1:10" ht="12.75" customHeight="1">
      <c r="A448" s="22"/>
      <c r="J448" s="3"/>
    </row>
    <row r="449" spans="1:10" ht="12.75" customHeight="1">
      <c r="A449" s="22"/>
      <c r="J449" s="3"/>
    </row>
    <row r="450" spans="1:10" ht="12.75" customHeight="1">
      <c r="A450" s="22"/>
      <c r="J450" s="3"/>
    </row>
    <row r="451" spans="1:10" ht="12.75" customHeight="1">
      <c r="A451" s="22"/>
      <c r="J451" s="3"/>
    </row>
    <row r="452" spans="1:10" ht="12.75" customHeight="1">
      <c r="A452" s="22"/>
      <c r="J452" s="3"/>
    </row>
    <row r="453" spans="1:10" ht="12.75" customHeight="1">
      <c r="A453" s="22"/>
      <c r="J453" s="3"/>
    </row>
    <row r="454" spans="1:10" ht="12.75" customHeight="1">
      <c r="A454" s="22"/>
      <c r="J454" s="3"/>
    </row>
    <row r="455" spans="1:10" ht="12.75" customHeight="1">
      <c r="A455" s="22"/>
      <c r="J455" s="3"/>
    </row>
    <row r="456" spans="1:10" ht="12.75" customHeight="1">
      <c r="A456" s="22"/>
      <c r="J456" s="3"/>
    </row>
    <row r="457" spans="1:10" ht="12.75" customHeight="1">
      <c r="A457" s="22"/>
      <c r="J457" s="3"/>
    </row>
    <row r="458" spans="1:10" ht="12.75" customHeight="1">
      <c r="A458" s="22"/>
      <c r="J458" s="3"/>
    </row>
    <row r="459" spans="1:10" ht="12.75" customHeight="1">
      <c r="A459" s="22"/>
      <c r="J459" s="3"/>
    </row>
    <row r="460" spans="1:10" ht="12.75" customHeight="1">
      <c r="A460" s="22"/>
      <c r="J460" s="3"/>
    </row>
    <row r="461" spans="1:10" ht="12.75" customHeight="1">
      <c r="A461" s="22"/>
      <c r="J461" s="3"/>
    </row>
    <row r="462" spans="1:10" ht="12.75" customHeight="1">
      <c r="A462" s="22"/>
      <c r="J462" s="3"/>
    </row>
    <row r="463" spans="1:10" ht="12.75" customHeight="1">
      <c r="A463" s="22"/>
      <c r="J463" s="3"/>
    </row>
    <row r="464" spans="1:10" ht="12.75" customHeight="1">
      <c r="A464" s="22"/>
      <c r="J464" s="3"/>
    </row>
    <row r="465" spans="1:10" ht="12.75" customHeight="1">
      <c r="A465" s="22"/>
      <c r="J465" s="3"/>
    </row>
    <row r="466" spans="1:10" ht="12.75" customHeight="1">
      <c r="A466" s="22"/>
      <c r="J466" s="3"/>
    </row>
    <row r="467" spans="1:10" ht="12.75" customHeight="1">
      <c r="A467" s="22"/>
      <c r="J467" s="3"/>
    </row>
    <row r="468" spans="1:10" ht="12.75" customHeight="1">
      <c r="A468" s="22"/>
      <c r="J468" s="3"/>
    </row>
    <row r="469" spans="1:10" ht="12.75" customHeight="1">
      <c r="A469" s="22"/>
      <c r="J469" s="3"/>
    </row>
    <row r="470" spans="1:10" ht="12.75" customHeight="1">
      <c r="A470" s="22"/>
      <c r="J470" s="3"/>
    </row>
    <row r="471" spans="1:10" ht="12.75" customHeight="1">
      <c r="A471" s="22"/>
      <c r="J471" s="3"/>
    </row>
    <row r="472" spans="1:10" ht="12.75" customHeight="1">
      <c r="A472" s="22"/>
      <c r="J472" s="3"/>
    </row>
    <row r="473" spans="1:10" ht="12.75" customHeight="1">
      <c r="A473" s="22"/>
      <c r="J473" s="3"/>
    </row>
    <row r="474" spans="1:10" ht="12.75" customHeight="1">
      <c r="A474" s="22"/>
      <c r="J474" s="3"/>
    </row>
    <row r="475" spans="1:10" ht="12.75" customHeight="1">
      <c r="A475" s="22"/>
      <c r="J475" s="3"/>
    </row>
    <row r="476" spans="1:10" ht="12.75" customHeight="1">
      <c r="A476" s="22"/>
      <c r="J476" s="3"/>
    </row>
    <row r="477" spans="1:10" ht="12.75" customHeight="1">
      <c r="A477" s="22"/>
      <c r="J477" s="3"/>
    </row>
    <row r="478" spans="1:10" ht="12.75" customHeight="1">
      <c r="A478" s="22"/>
      <c r="J478" s="3"/>
    </row>
    <row r="479" spans="1:10" ht="12.75" customHeight="1">
      <c r="A479" s="22"/>
      <c r="J479" s="3"/>
    </row>
    <row r="480" spans="1:10" ht="12.75" customHeight="1">
      <c r="A480" s="22"/>
      <c r="J480" s="3"/>
    </row>
    <row r="481" spans="1:10" ht="12.75" customHeight="1">
      <c r="A481" s="22"/>
      <c r="J481" s="3"/>
    </row>
    <row r="482" spans="1:10" ht="12.75" customHeight="1">
      <c r="A482" s="22"/>
      <c r="J482" s="3"/>
    </row>
    <row r="483" spans="1:10" ht="12.75" customHeight="1">
      <c r="A483" s="22"/>
      <c r="J483" s="3"/>
    </row>
    <row r="484" spans="1:10" ht="12.75" customHeight="1">
      <c r="A484" s="22"/>
      <c r="J484" s="3"/>
    </row>
    <row r="485" spans="1:10" ht="12.75" customHeight="1">
      <c r="A485" s="22"/>
      <c r="J485" s="3"/>
    </row>
    <row r="486" spans="1:10" ht="12.75" customHeight="1">
      <c r="A486" s="22"/>
      <c r="J486" s="3"/>
    </row>
    <row r="487" spans="1:10" ht="12.75" customHeight="1">
      <c r="A487" s="22"/>
      <c r="J487" s="3"/>
    </row>
    <row r="488" spans="1:10" ht="12.75" customHeight="1">
      <c r="A488" s="22"/>
      <c r="J488" s="3"/>
    </row>
    <row r="489" spans="1:10" ht="12.75" customHeight="1">
      <c r="A489" s="22"/>
      <c r="J489" s="3"/>
    </row>
    <row r="490" spans="1:10" ht="12.75" customHeight="1">
      <c r="A490" s="22"/>
      <c r="J490" s="3"/>
    </row>
    <row r="491" spans="1:10" ht="12.75" customHeight="1">
      <c r="A491" s="22"/>
      <c r="J491" s="3"/>
    </row>
    <row r="492" spans="1:10" ht="12.75" customHeight="1">
      <c r="A492" s="22"/>
      <c r="J492" s="3"/>
    </row>
    <row r="493" spans="1:10" ht="12.75" customHeight="1">
      <c r="A493" s="22"/>
      <c r="J493" s="3"/>
    </row>
    <row r="494" spans="1:10" ht="12.75" customHeight="1">
      <c r="A494" s="22"/>
      <c r="J494" s="3"/>
    </row>
    <row r="495" spans="1:10" ht="12.75" customHeight="1">
      <c r="A495" s="22"/>
      <c r="J495" s="3"/>
    </row>
    <row r="496" spans="1:10" ht="12.75" customHeight="1">
      <c r="A496" s="22"/>
      <c r="J496" s="3"/>
    </row>
    <row r="497" spans="1:10" ht="12.75" customHeight="1">
      <c r="A497" s="22"/>
      <c r="J497" s="3"/>
    </row>
    <row r="498" spans="1:10" ht="12.75" customHeight="1">
      <c r="A498" s="22"/>
      <c r="J498" s="3"/>
    </row>
    <row r="499" spans="1:10" ht="12.75" customHeight="1">
      <c r="A499" s="22"/>
      <c r="J499" s="3"/>
    </row>
    <row r="500" spans="1:10" ht="12.75" customHeight="1">
      <c r="A500" s="22"/>
      <c r="J500" s="3"/>
    </row>
    <row r="501" spans="1:10" ht="12.75" customHeight="1">
      <c r="A501" s="22"/>
      <c r="J501" s="3"/>
    </row>
    <row r="502" spans="1:10" ht="12.75" customHeight="1">
      <c r="A502" s="22"/>
      <c r="J502" s="3"/>
    </row>
    <row r="503" spans="1:10" ht="12.75" customHeight="1">
      <c r="A503" s="22"/>
      <c r="J503" s="3"/>
    </row>
    <row r="504" spans="1:10" ht="12.75" customHeight="1">
      <c r="A504" s="22"/>
      <c r="J504" s="3"/>
    </row>
    <row r="505" spans="1:10" ht="12.75" customHeight="1">
      <c r="A505" s="22"/>
      <c r="J505" s="3"/>
    </row>
    <row r="506" spans="1:10" ht="12.75" customHeight="1">
      <c r="A506" s="22"/>
      <c r="J506" s="3"/>
    </row>
    <row r="507" spans="1:10" ht="12.75" customHeight="1">
      <c r="A507" s="22"/>
      <c r="J507" s="3"/>
    </row>
    <row r="508" spans="1:10" ht="12.75" customHeight="1">
      <c r="A508" s="22"/>
      <c r="J508" s="3"/>
    </row>
    <row r="509" spans="1:10" ht="12.75" customHeight="1">
      <c r="A509" s="22"/>
      <c r="J509" s="3"/>
    </row>
    <row r="510" spans="1:10" ht="12.75" customHeight="1">
      <c r="A510" s="22"/>
      <c r="J510" s="3"/>
    </row>
    <row r="511" spans="1:10" ht="12.75" customHeight="1">
      <c r="A511" s="22"/>
      <c r="J511" s="3"/>
    </row>
    <row r="512" spans="1:10" ht="12.75" customHeight="1">
      <c r="A512" s="22"/>
      <c r="J512" s="3"/>
    </row>
    <row r="513" spans="1:10" ht="12.75" customHeight="1">
      <c r="A513" s="22"/>
      <c r="J513" s="3"/>
    </row>
    <row r="514" spans="1:10" ht="12.75" customHeight="1">
      <c r="A514" s="22"/>
      <c r="J514" s="3"/>
    </row>
    <row r="515" spans="1:10" ht="12.75" customHeight="1">
      <c r="A515" s="22"/>
      <c r="J515" s="3"/>
    </row>
    <row r="516" spans="1:10" ht="12.75" customHeight="1">
      <c r="A516" s="22"/>
      <c r="J516" s="3"/>
    </row>
    <row r="517" spans="1:10" ht="12.75" customHeight="1">
      <c r="A517" s="22"/>
      <c r="J517" s="3"/>
    </row>
    <row r="518" spans="1:10" ht="12.75" customHeight="1">
      <c r="A518" s="22"/>
      <c r="J518" s="3"/>
    </row>
    <row r="519" spans="1:10" ht="12.75" customHeight="1">
      <c r="A519" s="22"/>
      <c r="J519" s="3"/>
    </row>
    <row r="520" spans="1:10" ht="12.75" customHeight="1">
      <c r="A520" s="22"/>
      <c r="J520" s="3"/>
    </row>
    <row r="521" spans="1:10" ht="12.75" customHeight="1">
      <c r="A521" s="22"/>
      <c r="J521" s="3"/>
    </row>
    <row r="522" spans="1:10" ht="12.75" customHeight="1">
      <c r="A522" s="22"/>
      <c r="J522" s="3"/>
    </row>
    <row r="523" spans="1:10" ht="12.75" customHeight="1">
      <c r="A523" s="22"/>
      <c r="J523" s="3"/>
    </row>
    <row r="524" spans="1:10" ht="12.75" customHeight="1">
      <c r="A524" s="22"/>
      <c r="J524" s="3"/>
    </row>
    <row r="525" spans="1:10" ht="12.75" customHeight="1">
      <c r="A525" s="22"/>
      <c r="J525" s="3"/>
    </row>
    <row r="526" spans="1:10" ht="12.75" customHeight="1">
      <c r="A526" s="22"/>
      <c r="J526" s="3"/>
    </row>
    <row r="527" spans="1:10" ht="12.75" customHeight="1">
      <c r="A527" s="22"/>
      <c r="J527" s="3"/>
    </row>
    <row r="528" spans="1:10" ht="12.75" customHeight="1">
      <c r="A528" s="22"/>
      <c r="J528" s="3"/>
    </row>
    <row r="529" spans="1:10" ht="12.75" customHeight="1">
      <c r="A529" s="22"/>
      <c r="J529" s="3"/>
    </row>
    <row r="530" spans="1:10" ht="12.75" customHeight="1">
      <c r="A530" s="22"/>
      <c r="J530" s="3"/>
    </row>
    <row r="531" spans="1:10" ht="12.75" customHeight="1">
      <c r="A531" s="22"/>
      <c r="J531" s="3"/>
    </row>
    <row r="532" spans="1:10" ht="12.75" customHeight="1">
      <c r="A532" s="22"/>
      <c r="J532" s="3"/>
    </row>
    <row r="533" spans="1:10" ht="12.75" customHeight="1">
      <c r="A533" s="22"/>
      <c r="J533" s="3"/>
    </row>
    <row r="534" spans="1:10" ht="12.75" customHeight="1">
      <c r="A534" s="22"/>
      <c r="J534" s="3"/>
    </row>
    <row r="535" spans="1:10" ht="12.75" customHeight="1">
      <c r="A535" s="22"/>
      <c r="J535" s="3"/>
    </row>
    <row r="536" spans="1:10" ht="12.75" customHeight="1">
      <c r="A536" s="22"/>
      <c r="J536" s="3"/>
    </row>
    <row r="537" spans="1:10" ht="12.75" customHeight="1">
      <c r="A537" s="22"/>
      <c r="J537" s="3"/>
    </row>
    <row r="538" spans="1:10" ht="12.75" customHeight="1">
      <c r="A538" s="22"/>
      <c r="J538" s="3"/>
    </row>
    <row r="539" spans="1:10" ht="12.75" customHeight="1">
      <c r="A539" s="22"/>
      <c r="J539" s="3"/>
    </row>
    <row r="540" spans="1:10" ht="12.75" customHeight="1">
      <c r="A540" s="22"/>
      <c r="J540" s="3"/>
    </row>
    <row r="541" spans="1:10" ht="12.75" customHeight="1">
      <c r="A541" s="22"/>
      <c r="J541" s="3"/>
    </row>
    <row r="542" spans="1:10" ht="12.75" customHeight="1">
      <c r="A542" s="22"/>
      <c r="J542" s="3"/>
    </row>
    <row r="543" spans="1:10" ht="12.75" customHeight="1">
      <c r="A543" s="22"/>
      <c r="J543" s="3"/>
    </row>
    <row r="544" spans="1:10" ht="12.75" customHeight="1">
      <c r="A544" s="22"/>
      <c r="J544" s="3"/>
    </row>
    <row r="545" spans="1:10" ht="12.75" customHeight="1">
      <c r="A545" s="22"/>
      <c r="J545" s="3"/>
    </row>
    <row r="546" spans="1:10" ht="12.75" customHeight="1">
      <c r="A546" s="22"/>
      <c r="J546" s="3"/>
    </row>
    <row r="547" spans="1:10" ht="12.75" customHeight="1">
      <c r="A547" s="22"/>
      <c r="J547" s="3"/>
    </row>
    <row r="548" spans="1:10" ht="12.75" customHeight="1">
      <c r="A548" s="22"/>
      <c r="J548" s="3"/>
    </row>
    <row r="549" spans="1:10" ht="12.75" customHeight="1">
      <c r="A549" s="22"/>
      <c r="J549" s="3"/>
    </row>
    <row r="550" spans="1:10" ht="12.75" customHeight="1">
      <c r="A550" s="22"/>
      <c r="J550" s="3"/>
    </row>
    <row r="551" spans="1:10" ht="12.75" customHeight="1">
      <c r="A551" s="22"/>
      <c r="J551" s="3"/>
    </row>
    <row r="552" spans="1:10" ht="12.75" customHeight="1">
      <c r="A552" s="22"/>
      <c r="J552" s="3"/>
    </row>
    <row r="553" spans="1:10" ht="12.75" customHeight="1">
      <c r="A553" s="22"/>
      <c r="J553" s="3"/>
    </row>
    <row r="554" spans="1:10" ht="12.75" customHeight="1">
      <c r="A554" s="22"/>
      <c r="J554" s="3"/>
    </row>
    <row r="555" spans="1:10" ht="12.75" customHeight="1">
      <c r="A555" s="22"/>
      <c r="J555" s="3"/>
    </row>
    <row r="556" spans="1:10" ht="12.75" customHeight="1">
      <c r="A556" s="22"/>
      <c r="J556" s="3"/>
    </row>
    <row r="557" spans="1:10" ht="12.75" customHeight="1">
      <c r="A557" s="22"/>
      <c r="J557" s="3"/>
    </row>
    <row r="558" spans="1:10" ht="12.75" customHeight="1">
      <c r="A558" s="22"/>
      <c r="J558" s="3"/>
    </row>
    <row r="559" spans="1:10" ht="12.75" customHeight="1">
      <c r="A559" s="22"/>
      <c r="J559" s="3"/>
    </row>
    <row r="560" spans="1:10" ht="12.75" customHeight="1">
      <c r="A560" s="22"/>
      <c r="J560" s="3"/>
    </row>
    <row r="561" spans="1:10" ht="12.75" customHeight="1">
      <c r="A561" s="22"/>
      <c r="J561" s="3"/>
    </row>
    <row r="562" spans="1:10" ht="12.75" customHeight="1">
      <c r="A562" s="22"/>
      <c r="J562" s="3"/>
    </row>
    <row r="563" spans="1:10" ht="12.75" customHeight="1">
      <c r="A563" s="22"/>
      <c r="J563" s="3"/>
    </row>
    <row r="564" spans="1:10" ht="12.75" customHeight="1">
      <c r="A564" s="22"/>
      <c r="J564" s="3"/>
    </row>
    <row r="565" spans="1:10" ht="12.75" customHeight="1">
      <c r="A565" s="22"/>
      <c r="J565" s="3"/>
    </row>
    <row r="566" spans="1:10" ht="12.75" customHeight="1">
      <c r="A566" s="22"/>
      <c r="J566" s="3"/>
    </row>
    <row r="567" spans="1:10" ht="12.75" customHeight="1">
      <c r="A567" s="22"/>
      <c r="J567" s="3"/>
    </row>
    <row r="568" spans="1:10" ht="12.75" customHeight="1">
      <c r="A568" s="22"/>
      <c r="J568" s="3"/>
    </row>
    <row r="569" spans="1:10" ht="12.75" customHeight="1">
      <c r="A569" s="22"/>
      <c r="J569" s="3"/>
    </row>
    <row r="570" spans="1:10" ht="12.75" customHeight="1">
      <c r="A570" s="22"/>
      <c r="J570" s="3"/>
    </row>
    <row r="571" spans="1:10" ht="12.75" customHeight="1">
      <c r="A571" s="22"/>
      <c r="J571" s="3"/>
    </row>
    <row r="572" spans="1:10" ht="12.75" customHeight="1">
      <c r="A572" s="22"/>
      <c r="J572" s="3"/>
    </row>
    <row r="573" spans="1:10" ht="12.75" customHeight="1">
      <c r="A573" s="22"/>
      <c r="J573" s="3"/>
    </row>
    <row r="574" spans="1:10" ht="12.75" customHeight="1">
      <c r="A574" s="22"/>
      <c r="J574" s="3"/>
    </row>
    <row r="575" spans="1:10" ht="12.75" customHeight="1">
      <c r="A575" s="22"/>
      <c r="J575" s="3"/>
    </row>
    <row r="576" spans="1:10" ht="12.75" customHeight="1">
      <c r="A576" s="22"/>
      <c r="J576" s="3"/>
    </row>
    <row r="577" spans="1:10" ht="12.75" customHeight="1">
      <c r="A577" s="22"/>
      <c r="J577" s="3"/>
    </row>
    <row r="578" spans="1:10" ht="12.75" customHeight="1">
      <c r="A578" s="22"/>
      <c r="J578" s="3"/>
    </row>
    <row r="579" spans="1:10" ht="12.75" customHeight="1">
      <c r="A579" s="22"/>
      <c r="J579" s="3"/>
    </row>
    <row r="580" spans="1:10" ht="12.75" customHeight="1">
      <c r="A580" s="22"/>
      <c r="J580" s="3"/>
    </row>
    <row r="581" spans="1:10" ht="12.75" customHeight="1">
      <c r="A581" s="22"/>
      <c r="J581" s="3"/>
    </row>
    <row r="582" spans="1:10" ht="12.75" customHeight="1">
      <c r="A582" s="22"/>
      <c r="J582" s="3"/>
    </row>
    <row r="583" spans="1:10" ht="12.75" customHeight="1">
      <c r="A583" s="22"/>
      <c r="J583" s="3"/>
    </row>
    <row r="584" spans="1:10" ht="12.75" customHeight="1">
      <c r="A584" s="22"/>
      <c r="J584" s="3"/>
    </row>
    <row r="585" spans="1:10" ht="12.75" customHeight="1">
      <c r="A585" s="22"/>
      <c r="J585" s="3"/>
    </row>
    <row r="586" spans="1:10" ht="12.75" customHeight="1">
      <c r="A586" s="22"/>
      <c r="J586" s="3"/>
    </row>
    <row r="587" spans="1:10" ht="12.75" customHeight="1">
      <c r="A587" s="22"/>
      <c r="J587" s="3"/>
    </row>
    <row r="588" spans="1:10" ht="12.75" customHeight="1">
      <c r="A588" s="22"/>
      <c r="J588" s="3"/>
    </row>
    <row r="589" spans="1:10" ht="12.75" customHeight="1">
      <c r="A589" s="22"/>
      <c r="J589" s="3"/>
    </row>
    <row r="590" spans="1:10" ht="12.75" customHeight="1">
      <c r="A590" s="22"/>
      <c r="J590" s="3"/>
    </row>
    <row r="591" spans="1:10" ht="12.75" customHeight="1">
      <c r="A591" s="22"/>
      <c r="J591" s="3"/>
    </row>
    <row r="592" spans="1:10" ht="12.75" customHeight="1">
      <c r="A592" s="22"/>
      <c r="J592" s="3"/>
    </row>
    <row r="593" spans="1:10" ht="12.75" customHeight="1">
      <c r="A593" s="22"/>
      <c r="J593" s="3"/>
    </row>
    <row r="594" spans="1:10" ht="12.75" customHeight="1">
      <c r="A594" s="22"/>
      <c r="J594" s="3"/>
    </row>
    <row r="595" spans="1:10" ht="12.75" customHeight="1">
      <c r="A595" s="22"/>
      <c r="J595" s="3"/>
    </row>
    <row r="596" spans="1:10" ht="12.75" customHeight="1">
      <c r="A596" s="22"/>
      <c r="J596" s="3"/>
    </row>
    <row r="597" spans="1:10" ht="12.75" customHeight="1">
      <c r="A597" s="22"/>
      <c r="J597" s="3"/>
    </row>
    <row r="598" spans="1:10" ht="12.75" customHeight="1">
      <c r="A598" s="22"/>
      <c r="J598" s="3"/>
    </row>
    <row r="599" spans="1:10" ht="12.75" customHeight="1">
      <c r="A599" s="22"/>
      <c r="J599" s="3"/>
    </row>
    <row r="600" spans="1:10" ht="12.75" customHeight="1">
      <c r="A600" s="22"/>
      <c r="J600" s="3"/>
    </row>
    <row r="601" spans="1:10" ht="12.75" customHeight="1">
      <c r="A601" s="22"/>
      <c r="J601" s="3"/>
    </row>
    <row r="602" spans="1:10" ht="12.75" customHeight="1">
      <c r="A602" s="22"/>
      <c r="J602" s="3"/>
    </row>
    <row r="603" spans="1:10" ht="12.75" customHeight="1">
      <c r="A603" s="22"/>
      <c r="J603" s="3"/>
    </row>
    <row r="604" spans="1:10" ht="12.75" customHeight="1">
      <c r="A604" s="22"/>
      <c r="J604" s="3"/>
    </row>
    <row r="605" spans="1:10" ht="12.75" customHeight="1">
      <c r="A605" s="22"/>
      <c r="J605" s="3"/>
    </row>
    <row r="606" spans="1:10" ht="12.75" customHeight="1">
      <c r="A606" s="22"/>
      <c r="J606" s="3"/>
    </row>
    <row r="607" spans="1:10" ht="12.75" customHeight="1">
      <c r="A607" s="22"/>
      <c r="J607" s="3"/>
    </row>
    <row r="608" spans="1:10" ht="12.75" customHeight="1">
      <c r="A608" s="22"/>
      <c r="J608" s="3"/>
    </row>
    <row r="609" spans="1:10" ht="12.75" customHeight="1">
      <c r="A609" s="22"/>
      <c r="J609" s="3"/>
    </row>
    <row r="610" spans="1:10" ht="12.75" customHeight="1">
      <c r="A610" s="22"/>
      <c r="J610" s="3"/>
    </row>
    <row r="611" spans="1:10" ht="12.75" customHeight="1">
      <c r="A611" s="22"/>
      <c r="J611" s="3"/>
    </row>
    <row r="612" spans="1:10" ht="12.75" customHeight="1">
      <c r="A612" s="22"/>
      <c r="J612" s="3"/>
    </row>
    <row r="613" spans="1:10" ht="12.75" customHeight="1">
      <c r="A613" s="22"/>
      <c r="J613" s="3"/>
    </row>
    <row r="614" spans="1:10" ht="12.75" customHeight="1">
      <c r="A614" s="22"/>
      <c r="J614" s="3"/>
    </row>
    <row r="615" spans="1:10" ht="12.75" customHeight="1">
      <c r="A615" s="22"/>
      <c r="J615" s="3"/>
    </row>
    <row r="616" spans="1:10" ht="12.75" customHeight="1">
      <c r="A616" s="22"/>
      <c r="J616" s="3"/>
    </row>
    <row r="617" spans="1:10" ht="12.75" customHeight="1">
      <c r="A617" s="22"/>
      <c r="J617" s="3"/>
    </row>
    <row r="618" spans="1:10" ht="12.75" customHeight="1">
      <c r="A618" s="22"/>
      <c r="J618" s="3"/>
    </row>
    <row r="619" spans="1:10" ht="12.75" customHeight="1">
      <c r="A619" s="22"/>
      <c r="J619" s="3"/>
    </row>
    <row r="620" spans="1:10" ht="12.75" customHeight="1">
      <c r="A620" s="22"/>
      <c r="J620" s="3"/>
    </row>
    <row r="621" spans="1:10" ht="12.75" customHeight="1">
      <c r="A621" s="22"/>
      <c r="J621" s="3"/>
    </row>
    <row r="622" spans="1:10" ht="12.75" customHeight="1">
      <c r="A622" s="22"/>
      <c r="J622" s="3"/>
    </row>
    <row r="623" spans="1:10" ht="12.75" customHeight="1">
      <c r="A623" s="22"/>
      <c r="J623" s="3"/>
    </row>
    <row r="624" spans="1:10" ht="12.75" customHeight="1">
      <c r="A624" s="22"/>
      <c r="J624" s="3"/>
    </row>
    <row r="625" spans="1:10" ht="12.75" customHeight="1">
      <c r="A625" s="22"/>
      <c r="J625" s="3"/>
    </row>
    <row r="626" spans="1:10" ht="12.75" customHeight="1">
      <c r="A626" s="22"/>
      <c r="J626" s="3"/>
    </row>
    <row r="627" spans="1:10" ht="12.75" customHeight="1">
      <c r="A627" s="22"/>
      <c r="J627" s="3"/>
    </row>
    <row r="628" spans="1:10" ht="12.75" customHeight="1">
      <c r="A628" s="22"/>
      <c r="J628" s="3"/>
    </row>
    <row r="629" spans="1:10" ht="12.75" customHeight="1">
      <c r="A629" s="22"/>
      <c r="J629" s="3"/>
    </row>
    <row r="630" spans="1:10" ht="12.75" customHeight="1">
      <c r="A630" s="22"/>
      <c r="J630" s="3"/>
    </row>
    <row r="631" spans="1:10" ht="12.75" customHeight="1">
      <c r="A631" s="22"/>
      <c r="J631" s="3"/>
    </row>
    <row r="632" spans="1:10" ht="12.75" customHeight="1">
      <c r="A632" s="22"/>
      <c r="J632" s="3"/>
    </row>
    <row r="633" spans="1:10" ht="12.75" customHeight="1">
      <c r="A633" s="22"/>
      <c r="J633" s="3"/>
    </row>
    <row r="634" spans="1:10" ht="12.75" customHeight="1">
      <c r="A634" s="22"/>
      <c r="J634" s="3"/>
    </row>
    <row r="635" spans="1:10" ht="12.75" customHeight="1">
      <c r="A635" s="22"/>
      <c r="J635" s="3"/>
    </row>
    <row r="636" spans="1:10" ht="12.75" customHeight="1">
      <c r="A636" s="22"/>
      <c r="J636" s="3"/>
    </row>
    <row r="637" spans="1:10" ht="12.75" customHeight="1">
      <c r="A637" s="22"/>
      <c r="J637" s="3"/>
    </row>
    <row r="638" spans="1:10" ht="12.75" customHeight="1">
      <c r="A638" s="22"/>
      <c r="J638" s="3"/>
    </row>
    <row r="639" spans="1:10" ht="12.75" customHeight="1">
      <c r="A639" s="22"/>
      <c r="J639" s="3"/>
    </row>
    <row r="640" spans="1:10" ht="12.75" customHeight="1">
      <c r="A640" s="22"/>
      <c r="J640" s="3"/>
    </row>
    <row r="641" spans="1:10" ht="12.75" customHeight="1">
      <c r="A641" s="22"/>
      <c r="J641" s="3"/>
    </row>
    <row r="642" spans="1:10" ht="12.75" customHeight="1">
      <c r="A642" s="22"/>
      <c r="J642" s="3"/>
    </row>
    <row r="643" spans="1:10" ht="12.75" customHeight="1">
      <c r="A643" s="22"/>
      <c r="J643" s="3"/>
    </row>
    <row r="644" spans="1:10" ht="12.75" customHeight="1">
      <c r="A644" s="22"/>
      <c r="J644" s="3"/>
    </row>
    <row r="645" spans="1:10" ht="12.75" customHeight="1">
      <c r="A645" s="22"/>
      <c r="J645" s="3"/>
    </row>
    <row r="646" spans="1:10" ht="12.75" customHeight="1">
      <c r="A646" s="22"/>
      <c r="J646" s="3"/>
    </row>
    <row r="647" spans="1:10" ht="12.75" customHeight="1">
      <c r="A647" s="22"/>
      <c r="J647" s="3"/>
    </row>
    <row r="648" spans="1:10" ht="12.75" customHeight="1">
      <c r="A648" s="22"/>
      <c r="J648" s="3"/>
    </row>
    <row r="649" spans="1:10" ht="12.75" customHeight="1">
      <c r="A649" s="22"/>
      <c r="J649" s="3"/>
    </row>
    <row r="650" spans="1:10" ht="12.75" customHeight="1">
      <c r="A650" s="22"/>
      <c r="J650" s="3"/>
    </row>
    <row r="651" spans="1:10" ht="12.75" customHeight="1">
      <c r="A651" s="22"/>
      <c r="J651" s="3"/>
    </row>
    <row r="652" spans="1:10" ht="12.75" customHeight="1">
      <c r="A652" s="22"/>
      <c r="J652" s="3"/>
    </row>
    <row r="653" spans="1:10" ht="12.75" customHeight="1">
      <c r="A653" s="22"/>
      <c r="J653" s="3"/>
    </row>
    <row r="654" spans="1:10" ht="12.75" customHeight="1">
      <c r="A654" s="22"/>
      <c r="J654" s="3"/>
    </row>
    <row r="655" spans="1:10" ht="12.75" customHeight="1">
      <c r="A655" s="22"/>
      <c r="J655" s="3"/>
    </row>
    <row r="656" spans="1:10" ht="12.75" customHeight="1">
      <c r="A656" s="22"/>
      <c r="J656" s="3"/>
    </row>
    <row r="657" spans="1:10" ht="12.75" customHeight="1">
      <c r="A657" s="22"/>
      <c r="J657" s="3"/>
    </row>
    <row r="658" spans="1:10" ht="12.75" customHeight="1">
      <c r="A658" s="22"/>
      <c r="J658" s="3"/>
    </row>
    <row r="659" spans="1:10" ht="12.75" customHeight="1">
      <c r="A659" s="22"/>
      <c r="J659" s="3"/>
    </row>
    <row r="660" spans="1:10" ht="12.75" customHeight="1">
      <c r="A660" s="22"/>
      <c r="J660" s="3"/>
    </row>
    <row r="661" spans="1:10" ht="12.75" customHeight="1">
      <c r="A661" s="22"/>
      <c r="J661" s="3"/>
    </row>
    <row r="662" spans="1:10" ht="12.75" customHeight="1">
      <c r="A662" s="22"/>
      <c r="J662" s="3"/>
    </row>
    <row r="663" spans="1:10" ht="12.75" customHeight="1">
      <c r="A663" s="22"/>
      <c r="J663" s="3"/>
    </row>
    <row r="664" spans="1:10" ht="12.75" customHeight="1">
      <c r="A664" s="22"/>
      <c r="J664" s="3"/>
    </row>
    <row r="665" spans="1:10" ht="12.75" customHeight="1">
      <c r="A665" s="22"/>
      <c r="J665" s="3"/>
    </row>
    <row r="666" spans="1:10" ht="12.75" customHeight="1">
      <c r="A666" s="22"/>
      <c r="J666" s="3"/>
    </row>
    <row r="667" spans="1:10" ht="12.75" customHeight="1">
      <c r="A667" s="22"/>
      <c r="J667" s="3"/>
    </row>
    <row r="668" spans="1:10" ht="12.75" customHeight="1">
      <c r="A668" s="22"/>
      <c r="J668" s="3"/>
    </row>
    <row r="669" spans="1:10" ht="12.75" customHeight="1">
      <c r="A669" s="22"/>
      <c r="J669" s="3"/>
    </row>
    <row r="670" spans="1:10" ht="12.75" customHeight="1">
      <c r="A670" s="22"/>
      <c r="J670" s="3"/>
    </row>
    <row r="671" spans="1:10" ht="12.75" customHeight="1">
      <c r="A671" s="22"/>
      <c r="J671" s="3"/>
    </row>
    <row r="672" spans="1:10" ht="12.75" customHeight="1">
      <c r="A672" s="22"/>
      <c r="J672" s="3"/>
    </row>
    <row r="673" spans="1:10" ht="12.75" customHeight="1">
      <c r="A673" s="22"/>
      <c r="J673" s="3"/>
    </row>
    <row r="674" spans="1:10" ht="12.75" customHeight="1">
      <c r="A674" s="22"/>
      <c r="J674" s="3"/>
    </row>
    <row r="675" spans="1:10" ht="12.75" customHeight="1">
      <c r="A675" s="22"/>
      <c r="J675" s="3"/>
    </row>
    <row r="676" spans="1:10" ht="12.75" customHeight="1">
      <c r="A676" s="22"/>
      <c r="J676" s="3"/>
    </row>
    <row r="677" spans="1:10" ht="12.75" customHeight="1">
      <c r="A677" s="22"/>
      <c r="J677" s="3"/>
    </row>
    <row r="678" spans="1:10" ht="12.75" customHeight="1">
      <c r="A678" s="22"/>
      <c r="J678" s="3"/>
    </row>
    <row r="679" spans="1:10" ht="12.75" customHeight="1">
      <c r="A679" s="22"/>
      <c r="J679" s="3"/>
    </row>
    <row r="680" spans="1:10" ht="12.75" customHeight="1">
      <c r="A680" s="22"/>
      <c r="J680" s="3"/>
    </row>
    <row r="681" spans="1:10" ht="12.75" customHeight="1">
      <c r="A681" s="22"/>
      <c r="J681" s="3"/>
    </row>
    <row r="682" spans="1:10" ht="12.75" customHeight="1">
      <c r="A682" s="22"/>
      <c r="J682" s="3"/>
    </row>
    <row r="683" spans="1:10" ht="12.75" customHeight="1">
      <c r="A683" s="22"/>
      <c r="J683" s="3"/>
    </row>
    <row r="684" spans="1:10" ht="12.75" customHeight="1">
      <c r="A684" s="22"/>
      <c r="J684" s="3"/>
    </row>
    <row r="685" spans="1:10" ht="12.75" customHeight="1">
      <c r="A685" s="22"/>
      <c r="J685" s="3"/>
    </row>
    <row r="686" spans="1:10" ht="12.75" customHeight="1">
      <c r="A686" s="22"/>
      <c r="J686" s="3"/>
    </row>
    <row r="687" spans="1:10" ht="12.75" customHeight="1">
      <c r="A687" s="22"/>
      <c r="J687" s="3"/>
    </row>
    <row r="688" spans="1:10" ht="12.75" customHeight="1">
      <c r="A688" s="22"/>
      <c r="J688" s="3"/>
    </row>
    <row r="689" spans="1:10" ht="12.75" customHeight="1">
      <c r="A689" s="22"/>
      <c r="J689" s="3"/>
    </row>
    <row r="690" spans="1:10" ht="12.75" customHeight="1">
      <c r="A690" s="22"/>
      <c r="J690" s="3"/>
    </row>
    <row r="691" spans="1:10" ht="12.75" customHeight="1">
      <c r="A691" s="22"/>
      <c r="J691" s="3"/>
    </row>
    <row r="692" spans="1:10" ht="12.75" customHeight="1">
      <c r="A692" s="22"/>
      <c r="J692" s="3"/>
    </row>
    <row r="693" spans="1:10" ht="12.75" customHeight="1">
      <c r="A693" s="22"/>
      <c r="J693" s="3"/>
    </row>
    <row r="694" spans="1:10" ht="12.75" customHeight="1">
      <c r="A694" s="22"/>
      <c r="J694" s="3"/>
    </row>
    <row r="695" spans="1:10" ht="12.75" customHeight="1">
      <c r="A695" s="22"/>
      <c r="J695" s="3"/>
    </row>
    <row r="696" spans="1:10" ht="12.75" customHeight="1">
      <c r="A696" s="22"/>
      <c r="J696" s="3"/>
    </row>
    <row r="697" spans="1:10" ht="12.75" customHeight="1">
      <c r="A697" s="22"/>
      <c r="J697" s="3"/>
    </row>
    <row r="698" spans="1:10" ht="12.75" customHeight="1">
      <c r="A698" s="22"/>
      <c r="J698" s="3"/>
    </row>
    <row r="699" spans="1:10" ht="12.75" customHeight="1">
      <c r="A699" s="22"/>
      <c r="J699" s="3"/>
    </row>
    <row r="700" spans="1:10" ht="12.75" customHeight="1">
      <c r="A700" s="22"/>
      <c r="J700" s="3"/>
    </row>
    <row r="701" spans="1:10" ht="12.75" customHeight="1">
      <c r="A701" s="22"/>
      <c r="J701" s="3"/>
    </row>
    <row r="702" spans="1:10" ht="12.75" customHeight="1">
      <c r="A702" s="22"/>
      <c r="J702" s="3"/>
    </row>
    <row r="703" spans="1:10" ht="12.75" customHeight="1">
      <c r="A703" s="22"/>
      <c r="J703" s="3"/>
    </row>
    <row r="704" spans="1:10" ht="12.75" customHeight="1">
      <c r="A704" s="22"/>
      <c r="J704" s="3"/>
    </row>
    <row r="705" spans="1:10" ht="12.75" customHeight="1">
      <c r="A705" s="22"/>
      <c r="J705" s="3"/>
    </row>
    <row r="706" spans="1:10" ht="12.75" customHeight="1">
      <c r="A706" s="22"/>
      <c r="J706" s="3"/>
    </row>
    <row r="707" spans="1:10" ht="12.75" customHeight="1">
      <c r="A707" s="22"/>
      <c r="J707" s="3"/>
    </row>
    <row r="708" spans="1:10" ht="12.75" customHeight="1">
      <c r="A708" s="22"/>
      <c r="J708" s="3"/>
    </row>
    <row r="709" spans="1:10" ht="12.75" customHeight="1">
      <c r="A709" s="22"/>
      <c r="J709" s="3"/>
    </row>
    <row r="710" spans="1:10" ht="12.75" customHeight="1">
      <c r="A710" s="22"/>
      <c r="J710" s="3"/>
    </row>
    <row r="711" spans="1:10" ht="12.75" customHeight="1">
      <c r="A711" s="22"/>
      <c r="J711" s="3"/>
    </row>
    <row r="712" spans="1:10" ht="12.75" customHeight="1">
      <c r="A712" s="22"/>
      <c r="J712" s="3"/>
    </row>
    <row r="713" spans="1:10" ht="12.75" customHeight="1">
      <c r="A713" s="22"/>
      <c r="J713" s="3"/>
    </row>
    <row r="714" spans="1:10" ht="12.75" customHeight="1">
      <c r="A714" s="22"/>
      <c r="J714" s="3"/>
    </row>
    <row r="715" spans="1:10" ht="12.75" customHeight="1">
      <c r="A715" s="22"/>
      <c r="J715" s="3"/>
    </row>
    <row r="716" spans="1:10" ht="12.75" customHeight="1">
      <c r="A716" s="22"/>
      <c r="J716" s="3"/>
    </row>
    <row r="717" spans="1:10" ht="12.75" customHeight="1">
      <c r="A717" s="22"/>
      <c r="J717" s="3"/>
    </row>
    <row r="718" spans="1:10" ht="12.75" customHeight="1">
      <c r="A718" s="22"/>
      <c r="J718" s="3"/>
    </row>
    <row r="719" spans="1:10" ht="12.75" customHeight="1">
      <c r="A719" s="22"/>
      <c r="J719" s="3"/>
    </row>
    <row r="720" spans="1:10" ht="12.75" customHeight="1">
      <c r="A720" s="22"/>
      <c r="J720" s="3"/>
    </row>
    <row r="721" spans="1:10" ht="12.75" customHeight="1">
      <c r="A721" s="22"/>
      <c r="J721" s="3"/>
    </row>
    <row r="722" spans="1:10" ht="12.75" customHeight="1">
      <c r="A722" s="22"/>
      <c r="J722" s="3"/>
    </row>
    <row r="723" spans="1:10" ht="12.75" customHeight="1">
      <c r="A723" s="22"/>
      <c r="J723" s="3"/>
    </row>
    <row r="724" spans="1:10" ht="12.75" customHeight="1">
      <c r="A724" s="22"/>
      <c r="J724" s="3"/>
    </row>
    <row r="725" spans="1:10" ht="12.75" customHeight="1">
      <c r="A725" s="22"/>
      <c r="J725" s="3"/>
    </row>
    <row r="726" spans="1:10" ht="12.75" customHeight="1">
      <c r="A726" s="22"/>
      <c r="J726" s="3"/>
    </row>
    <row r="727" spans="1:10" ht="12.75" customHeight="1">
      <c r="A727" s="22"/>
      <c r="J727" s="3"/>
    </row>
    <row r="728" spans="1:10" ht="12.75" customHeight="1">
      <c r="A728" s="22"/>
      <c r="J728" s="3"/>
    </row>
    <row r="729" spans="1:10" ht="12.75" customHeight="1">
      <c r="A729" s="22"/>
      <c r="J729" s="3"/>
    </row>
    <row r="730" spans="1:10" ht="12.75" customHeight="1">
      <c r="A730" s="22"/>
      <c r="J730" s="3"/>
    </row>
    <row r="731" spans="1:10" ht="12.75" customHeight="1">
      <c r="A731" s="22"/>
      <c r="J731" s="3"/>
    </row>
    <row r="732" spans="1:10" ht="12.75" customHeight="1">
      <c r="A732" s="22"/>
      <c r="J732" s="3"/>
    </row>
    <row r="733" spans="1:10" ht="12.75" customHeight="1">
      <c r="A733" s="22"/>
      <c r="J733" s="3"/>
    </row>
    <row r="734" spans="1:10" ht="12.75" customHeight="1">
      <c r="A734" s="22"/>
      <c r="J734" s="3"/>
    </row>
    <row r="735" spans="1:10" ht="12.75" customHeight="1">
      <c r="A735" s="22"/>
      <c r="J735" s="3"/>
    </row>
    <row r="736" spans="1:10" ht="12.75" customHeight="1">
      <c r="A736" s="22"/>
      <c r="J736" s="3"/>
    </row>
    <row r="737" spans="1:10" ht="12.75" customHeight="1">
      <c r="A737" s="22"/>
      <c r="J737" s="3"/>
    </row>
    <row r="738" spans="1:10" ht="12.75" customHeight="1">
      <c r="A738" s="22"/>
      <c r="J738" s="3"/>
    </row>
    <row r="739" spans="1:10" ht="12.75" customHeight="1">
      <c r="A739" s="22"/>
      <c r="J739" s="3"/>
    </row>
    <row r="740" spans="1:10" ht="12.75" customHeight="1">
      <c r="A740" s="22"/>
      <c r="J740" s="3"/>
    </row>
    <row r="741" spans="1:10" ht="12.75" customHeight="1">
      <c r="A741" s="22"/>
      <c r="J741" s="3"/>
    </row>
    <row r="742" spans="1:10" ht="12.75" customHeight="1">
      <c r="A742" s="22"/>
      <c r="J742" s="3"/>
    </row>
    <row r="743" spans="1:10" ht="12.75" customHeight="1">
      <c r="A743" s="22"/>
      <c r="J743" s="3"/>
    </row>
    <row r="744" spans="1:10" ht="12.75" customHeight="1">
      <c r="A744" s="22"/>
      <c r="J744" s="3"/>
    </row>
    <row r="745" spans="1:10" ht="12.75" customHeight="1">
      <c r="A745" s="22"/>
      <c r="J745" s="3"/>
    </row>
    <row r="746" spans="1:10" ht="12.75" customHeight="1">
      <c r="A746" s="22"/>
      <c r="J746" s="3"/>
    </row>
    <row r="747" spans="1:10" ht="12.75" customHeight="1">
      <c r="A747" s="22"/>
      <c r="J747" s="3"/>
    </row>
    <row r="748" spans="1:10" ht="12.75" customHeight="1">
      <c r="A748" s="22"/>
      <c r="J748" s="3"/>
    </row>
    <row r="749" spans="1:10" ht="12.75" customHeight="1">
      <c r="A749" s="22"/>
      <c r="J749" s="3"/>
    </row>
    <row r="750" spans="1:10" ht="12.75" customHeight="1">
      <c r="A750" s="22"/>
      <c r="J750" s="3"/>
    </row>
    <row r="751" spans="1:10" ht="12.75" customHeight="1">
      <c r="A751" s="22"/>
      <c r="J751" s="3"/>
    </row>
    <row r="752" spans="1:10" ht="12.75" customHeight="1">
      <c r="A752" s="22"/>
      <c r="J752" s="3"/>
    </row>
    <row r="753" spans="1:10" ht="12.75" customHeight="1">
      <c r="A753" s="22"/>
      <c r="J753" s="3"/>
    </row>
    <row r="754" spans="1:10" ht="12.75" customHeight="1">
      <c r="A754" s="22"/>
      <c r="J754" s="3"/>
    </row>
    <row r="755" spans="1:10" ht="12.75" customHeight="1">
      <c r="A755" s="22"/>
      <c r="J755" s="3"/>
    </row>
    <row r="756" spans="1:10" ht="12.75" customHeight="1">
      <c r="A756" s="22"/>
      <c r="J756" s="3"/>
    </row>
    <row r="757" spans="1:10" ht="12.75" customHeight="1">
      <c r="A757" s="22"/>
      <c r="J757" s="3"/>
    </row>
    <row r="758" spans="1:10" ht="12.75" customHeight="1">
      <c r="A758" s="22"/>
      <c r="J758" s="3"/>
    </row>
    <row r="759" spans="1:10" ht="12.75" customHeight="1">
      <c r="A759" s="22"/>
      <c r="J759" s="3"/>
    </row>
    <row r="760" spans="1:10" ht="12.75" customHeight="1">
      <c r="A760" s="22"/>
      <c r="J760" s="3"/>
    </row>
    <row r="761" spans="1:10" ht="12.75" customHeight="1">
      <c r="A761" s="22"/>
      <c r="J761" s="3"/>
    </row>
    <row r="762" spans="1:10" ht="12.75" customHeight="1">
      <c r="A762" s="22"/>
      <c r="J762" s="3"/>
    </row>
    <row r="763" spans="1:10" ht="12.75" customHeight="1">
      <c r="A763" s="22"/>
      <c r="J763" s="3"/>
    </row>
    <row r="764" spans="1:10" ht="12.75" customHeight="1">
      <c r="A764" s="22"/>
      <c r="J764" s="3"/>
    </row>
    <row r="765" spans="1:10" ht="12.75" customHeight="1">
      <c r="A765" s="22"/>
      <c r="J765" s="3"/>
    </row>
    <row r="766" spans="1:10" ht="12.75" customHeight="1">
      <c r="A766" s="22"/>
      <c r="J766" s="3"/>
    </row>
    <row r="767" spans="1:10" ht="12.75" customHeight="1">
      <c r="A767" s="22"/>
      <c r="J767" s="3"/>
    </row>
    <row r="768" spans="1:10" ht="12.75" customHeight="1">
      <c r="A768" s="22"/>
      <c r="J768" s="3"/>
    </row>
    <row r="769" spans="1:10" ht="12.75" customHeight="1">
      <c r="A769" s="22"/>
      <c r="J769" s="3"/>
    </row>
    <row r="770" spans="1:10" ht="12.75" customHeight="1">
      <c r="A770" s="22"/>
      <c r="J770" s="3"/>
    </row>
    <row r="771" spans="1:10" ht="12.75" customHeight="1">
      <c r="A771" s="22"/>
      <c r="J771" s="3"/>
    </row>
    <row r="772" spans="1:10" ht="12.75" customHeight="1">
      <c r="A772" s="22"/>
      <c r="J772" s="3"/>
    </row>
    <row r="773" spans="1:10" ht="12.75" customHeight="1">
      <c r="A773" s="22"/>
      <c r="J773" s="3"/>
    </row>
    <row r="774" spans="1:10" ht="12.75" customHeight="1">
      <c r="A774" s="22"/>
      <c r="J774" s="3"/>
    </row>
    <row r="775" spans="1:10" ht="12.75" customHeight="1">
      <c r="A775" s="22"/>
      <c r="J775" s="3"/>
    </row>
    <row r="776" spans="1:10" ht="12.75" customHeight="1">
      <c r="A776" s="22"/>
      <c r="J776" s="3"/>
    </row>
    <row r="777" spans="1:10" ht="12.75" customHeight="1">
      <c r="A777" s="22"/>
      <c r="J777" s="3"/>
    </row>
    <row r="778" spans="1:10" ht="12.75" customHeight="1">
      <c r="A778" s="22"/>
      <c r="J778" s="3"/>
    </row>
    <row r="779" spans="1:10" ht="12.75" customHeight="1">
      <c r="A779" s="22"/>
      <c r="J779" s="3"/>
    </row>
    <row r="780" spans="1:10" ht="12.75" customHeight="1">
      <c r="A780" s="22"/>
      <c r="J780" s="3"/>
    </row>
    <row r="781" spans="1:10" ht="12.75" customHeight="1">
      <c r="A781" s="22"/>
      <c r="J781" s="3"/>
    </row>
    <row r="782" spans="1:10" ht="12.75" customHeight="1">
      <c r="A782" s="22"/>
      <c r="J782" s="3"/>
    </row>
    <row r="783" spans="1:10" ht="12.75" customHeight="1">
      <c r="A783" s="22"/>
      <c r="J783" s="3"/>
    </row>
    <row r="784" spans="1:10" ht="12.75" customHeight="1">
      <c r="A784" s="22"/>
      <c r="J784" s="3"/>
    </row>
    <row r="785" spans="1:10" ht="12.75" customHeight="1">
      <c r="A785" s="22"/>
      <c r="J785" s="3"/>
    </row>
    <row r="786" spans="1:10" ht="12.75" customHeight="1">
      <c r="A786" s="22"/>
      <c r="J786" s="3"/>
    </row>
    <row r="787" spans="1:10" ht="12.75" customHeight="1">
      <c r="A787" s="22"/>
      <c r="J787" s="3"/>
    </row>
    <row r="788" spans="1:10" ht="12.75" customHeight="1">
      <c r="A788" s="22"/>
      <c r="J788" s="3"/>
    </row>
    <row r="789" spans="1:10" ht="12.75" customHeight="1">
      <c r="A789" s="22"/>
      <c r="J789" s="3"/>
    </row>
    <row r="790" spans="1:10" ht="12.75" customHeight="1">
      <c r="A790" s="22"/>
      <c r="J790" s="3"/>
    </row>
    <row r="791" spans="1:10" ht="12.75" customHeight="1">
      <c r="A791" s="22"/>
      <c r="J791" s="3"/>
    </row>
    <row r="792" spans="1:10" ht="12.75" customHeight="1">
      <c r="A792" s="22"/>
      <c r="J792" s="3"/>
    </row>
    <row r="793" spans="1:10" ht="12.75" customHeight="1">
      <c r="A793" s="22"/>
      <c r="J793" s="3"/>
    </row>
    <row r="794" spans="1:10" ht="12.75" customHeight="1">
      <c r="A794" s="22"/>
      <c r="J794" s="3"/>
    </row>
    <row r="795" spans="1:10" ht="12.75" customHeight="1">
      <c r="A795" s="22"/>
      <c r="J795" s="3"/>
    </row>
    <row r="796" spans="1:10" ht="12.75" customHeight="1">
      <c r="A796" s="22"/>
      <c r="J796" s="3"/>
    </row>
    <row r="797" spans="1:10" ht="12.75" customHeight="1">
      <c r="A797" s="22"/>
      <c r="J797" s="3"/>
    </row>
    <row r="798" spans="1:10" ht="12.75" customHeight="1">
      <c r="A798" s="22"/>
      <c r="J798" s="3"/>
    </row>
    <row r="799" spans="1:10" ht="12.75" customHeight="1">
      <c r="A799" s="22"/>
      <c r="J799" s="3"/>
    </row>
    <row r="800" spans="1:10" ht="12.75" customHeight="1">
      <c r="A800" s="22"/>
      <c r="J800" s="3"/>
    </row>
    <row r="801" spans="1:10" ht="12.75" customHeight="1">
      <c r="A801" s="22"/>
      <c r="J801" s="3"/>
    </row>
    <row r="802" spans="1:10" ht="12.75" customHeight="1">
      <c r="A802" s="22"/>
      <c r="J802" s="3"/>
    </row>
    <row r="803" spans="1:10" ht="12.75" customHeight="1">
      <c r="A803" s="22"/>
      <c r="J803" s="3"/>
    </row>
    <row r="804" spans="1:10" ht="12.75" customHeight="1">
      <c r="A804" s="22"/>
      <c r="J804" s="3"/>
    </row>
    <row r="805" spans="1:10" ht="12.75" customHeight="1">
      <c r="A805" s="22"/>
      <c r="J805" s="3"/>
    </row>
    <row r="806" spans="1:10" ht="12.75" customHeight="1">
      <c r="A806" s="22"/>
      <c r="J806" s="3"/>
    </row>
    <row r="807" spans="1:10" ht="12.75" customHeight="1">
      <c r="A807" s="22"/>
      <c r="J807" s="3"/>
    </row>
    <row r="808" spans="1:10" ht="12.75" customHeight="1">
      <c r="A808" s="22"/>
      <c r="J808" s="3"/>
    </row>
    <row r="809" spans="1:10" ht="12.75" customHeight="1">
      <c r="A809" s="22"/>
      <c r="J809" s="3"/>
    </row>
    <row r="810" spans="1:10" ht="12.75" customHeight="1">
      <c r="A810" s="22"/>
      <c r="J810" s="3"/>
    </row>
    <row r="811" spans="1:10" ht="12.75" customHeight="1">
      <c r="A811" s="22"/>
      <c r="J811" s="3"/>
    </row>
    <row r="812" spans="1:10" ht="12.75" customHeight="1">
      <c r="A812" s="22"/>
      <c r="J812" s="3"/>
    </row>
    <row r="813" spans="1:10" ht="12.75" customHeight="1">
      <c r="A813" s="22"/>
      <c r="J813" s="3"/>
    </row>
    <row r="814" spans="1:10" ht="12.75" customHeight="1">
      <c r="A814" s="22"/>
      <c r="J814" s="3"/>
    </row>
    <row r="815" spans="1:10" ht="12.75" customHeight="1">
      <c r="A815" s="22"/>
      <c r="J815" s="3"/>
    </row>
    <row r="816" spans="1:10" ht="12.75" customHeight="1">
      <c r="A816" s="22"/>
      <c r="J816" s="3"/>
    </row>
    <row r="817" spans="1:10" ht="12.75" customHeight="1">
      <c r="A817" s="22"/>
      <c r="J817" s="3"/>
    </row>
    <row r="818" spans="1:10" ht="12.75" customHeight="1">
      <c r="A818" s="22"/>
      <c r="J818" s="3"/>
    </row>
    <row r="819" spans="1:10" ht="12.75" customHeight="1">
      <c r="A819" s="22"/>
      <c r="J819" s="3"/>
    </row>
    <row r="820" spans="1:10" ht="12.75" customHeight="1">
      <c r="A820" s="22"/>
      <c r="J820" s="3"/>
    </row>
    <row r="821" spans="1:10" ht="12.75" customHeight="1">
      <c r="A821" s="22"/>
      <c r="J821" s="3"/>
    </row>
    <row r="822" spans="1:10" ht="12.75" customHeight="1">
      <c r="A822" s="22"/>
      <c r="J822" s="3"/>
    </row>
    <row r="823" spans="1:10" ht="12.75" customHeight="1">
      <c r="A823" s="22"/>
      <c r="J823" s="3"/>
    </row>
    <row r="824" spans="1:10" ht="12.75" customHeight="1">
      <c r="A824" s="22"/>
      <c r="J824" s="3"/>
    </row>
    <row r="825" spans="1:10" ht="12.75" customHeight="1">
      <c r="A825" s="22"/>
      <c r="J825" s="3"/>
    </row>
    <row r="826" spans="1:10" ht="12.75" customHeight="1">
      <c r="A826" s="22"/>
      <c r="J826" s="3"/>
    </row>
    <row r="827" spans="1:10" ht="12.75" customHeight="1">
      <c r="A827" s="22"/>
      <c r="J827" s="3"/>
    </row>
    <row r="828" spans="1:10" ht="12.75" customHeight="1">
      <c r="A828" s="22"/>
      <c r="J828" s="3"/>
    </row>
    <row r="829" spans="1:10" ht="12.75" customHeight="1">
      <c r="A829" s="22"/>
      <c r="J829" s="3"/>
    </row>
    <row r="830" spans="1:10" ht="12.75" customHeight="1">
      <c r="A830" s="22"/>
      <c r="J830" s="3"/>
    </row>
    <row r="831" spans="1:10" ht="12.75" customHeight="1">
      <c r="A831" s="22"/>
      <c r="J831" s="3"/>
    </row>
    <row r="832" spans="1:10" ht="12.75" customHeight="1">
      <c r="A832" s="22"/>
      <c r="J832" s="3"/>
    </row>
    <row r="833" spans="1:10" ht="12.75" customHeight="1">
      <c r="A833" s="22"/>
      <c r="J833" s="3"/>
    </row>
    <row r="834" spans="1:10" ht="12.75" customHeight="1">
      <c r="A834" s="22"/>
      <c r="J834" s="3"/>
    </row>
    <row r="835" spans="1:10" ht="12.75" customHeight="1">
      <c r="A835" s="22"/>
      <c r="J835" s="3"/>
    </row>
    <row r="836" spans="1:10" ht="12.75" customHeight="1">
      <c r="A836" s="22"/>
      <c r="J836" s="3"/>
    </row>
    <row r="837" spans="1:10" ht="12.75" customHeight="1">
      <c r="A837" s="22"/>
      <c r="J837" s="3"/>
    </row>
    <row r="838" spans="1:10" ht="12.75" customHeight="1">
      <c r="A838" s="22"/>
      <c r="J838" s="3"/>
    </row>
    <row r="839" spans="1:10" ht="12.75" customHeight="1">
      <c r="A839" s="22"/>
      <c r="J839" s="3"/>
    </row>
    <row r="840" spans="1:10" ht="12.75" customHeight="1">
      <c r="A840" s="22"/>
      <c r="J840" s="3"/>
    </row>
    <row r="841" spans="1:10" ht="12.75" customHeight="1">
      <c r="A841" s="22"/>
      <c r="J841" s="3"/>
    </row>
    <row r="842" spans="1:10" ht="12.75" customHeight="1">
      <c r="A842" s="22"/>
      <c r="J842" s="3"/>
    </row>
    <row r="843" spans="1:10" ht="12.75" customHeight="1">
      <c r="A843" s="22"/>
      <c r="J843" s="3"/>
    </row>
    <row r="844" spans="1:10" ht="12.75" customHeight="1">
      <c r="A844" s="22"/>
      <c r="J844" s="3"/>
    </row>
    <row r="845" spans="1:10" ht="12.75" customHeight="1">
      <c r="A845" s="22"/>
      <c r="J845" s="3"/>
    </row>
    <row r="846" spans="1:10" ht="12.75" customHeight="1">
      <c r="A846" s="22"/>
      <c r="J846" s="3"/>
    </row>
    <row r="847" spans="1:10" ht="12.75" customHeight="1">
      <c r="A847" s="22"/>
      <c r="J847" s="3"/>
    </row>
    <row r="848" spans="1:10" ht="12.75" customHeight="1">
      <c r="A848" s="22"/>
      <c r="J848" s="3"/>
    </row>
    <row r="849" spans="1:10" ht="12.75" customHeight="1">
      <c r="A849" s="22"/>
      <c r="J849" s="3"/>
    </row>
    <row r="850" spans="1:10" ht="12.75" customHeight="1">
      <c r="A850" s="22"/>
      <c r="J850" s="3"/>
    </row>
    <row r="851" spans="1:10" ht="12.75" customHeight="1">
      <c r="A851" s="22"/>
      <c r="J851" s="3"/>
    </row>
    <row r="852" spans="1:10" ht="12.75" customHeight="1">
      <c r="A852" s="22"/>
      <c r="J852" s="3"/>
    </row>
    <row r="853" spans="1:10" ht="12.75" customHeight="1">
      <c r="A853" s="22"/>
      <c r="J853" s="3"/>
    </row>
    <row r="854" spans="1:10" ht="12.75" customHeight="1">
      <c r="A854" s="22"/>
      <c r="J854" s="3"/>
    </row>
    <row r="855" spans="1:10" ht="12.75" customHeight="1">
      <c r="A855" s="22"/>
      <c r="J855" s="3"/>
    </row>
    <row r="856" spans="1:10" ht="12.75" customHeight="1">
      <c r="A856" s="22"/>
      <c r="J856" s="3"/>
    </row>
    <row r="857" spans="1:10" ht="12.75" customHeight="1">
      <c r="A857" s="22"/>
      <c r="J857" s="3"/>
    </row>
    <row r="858" spans="1:10" ht="12.75" customHeight="1">
      <c r="A858" s="22"/>
      <c r="J858" s="3"/>
    </row>
    <row r="859" spans="1:10" ht="12.75" customHeight="1">
      <c r="A859" s="22"/>
      <c r="J859" s="3"/>
    </row>
    <row r="860" spans="1:10" ht="12.75" customHeight="1">
      <c r="A860" s="22"/>
      <c r="J860" s="3"/>
    </row>
    <row r="861" spans="1:10" ht="12.75" customHeight="1">
      <c r="A861" s="22"/>
      <c r="J861" s="3"/>
    </row>
    <row r="862" spans="1:10" ht="12.75" customHeight="1">
      <c r="A862" s="22"/>
      <c r="J862" s="3"/>
    </row>
    <row r="863" spans="1:10" ht="12.75" customHeight="1">
      <c r="A863" s="22"/>
      <c r="J863" s="3"/>
    </row>
    <row r="864" spans="1:10" ht="12.75" customHeight="1">
      <c r="A864" s="22"/>
      <c r="J864" s="3"/>
    </row>
    <row r="865" spans="1:10" ht="12.75" customHeight="1">
      <c r="A865" s="22"/>
      <c r="J865" s="3"/>
    </row>
    <row r="866" spans="1:10" ht="12.75" customHeight="1">
      <c r="A866" s="22"/>
      <c r="J866" s="3"/>
    </row>
    <row r="867" spans="1:10" ht="12.75" customHeight="1">
      <c r="A867" s="22"/>
      <c r="J867" s="3"/>
    </row>
    <row r="868" spans="1:10" ht="12.75" customHeight="1">
      <c r="A868" s="22"/>
      <c r="J868" s="3"/>
    </row>
    <row r="869" spans="1:10" ht="12.75" customHeight="1">
      <c r="A869" s="22"/>
      <c r="J869" s="3"/>
    </row>
    <row r="870" spans="1:10" ht="12.75" customHeight="1">
      <c r="A870" s="22"/>
      <c r="J870" s="3"/>
    </row>
    <row r="871" spans="1:10" ht="12.75" customHeight="1">
      <c r="A871" s="22"/>
      <c r="J871" s="3"/>
    </row>
    <row r="872" spans="1:10" ht="12.75" customHeight="1">
      <c r="A872" s="22"/>
      <c r="J872" s="3"/>
    </row>
    <row r="873" spans="1:10" ht="12.75" customHeight="1">
      <c r="A873" s="22"/>
      <c r="J873" s="3"/>
    </row>
    <row r="874" spans="1:10" ht="12.75" customHeight="1">
      <c r="A874" s="22"/>
      <c r="J874" s="3"/>
    </row>
    <row r="875" spans="1:10" ht="12.75" customHeight="1">
      <c r="A875" s="22"/>
      <c r="J875" s="3"/>
    </row>
    <row r="876" spans="1:10" ht="12.75" customHeight="1">
      <c r="A876" s="22"/>
      <c r="J876" s="3"/>
    </row>
    <row r="877" spans="1:10" ht="12.75" customHeight="1">
      <c r="A877" s="22"/>
      <c r="J877" s="3"/>
    </row>
    <row r="878" spans="1:10" ht="12.75" customHeight="1">
      <c r="A878" s="22"/>
      <c r="J878" s="3"/>
    </row>
    <row r="879" spans="1:10" ht="12.75" customHeight="1">
      <c r="A879" s="22"/>
      <c r="J879" s="3"/>
    </row>
    <row r="880" spans="1:10" ht="12.75" customHeight="1">
      <c r="A880" s="22"/>
      <c r="J880" s="3"/>
    </row>
    <row r="881" spans="1:10" ht="12.75" customHeight="1">
      <c r="A881" s="22"/>
      <c r="J881" s="3"/>
    </row>
    <row r="882" spans="1:10" ht="12.75" customHeight="1">
      <c r="A882" s="22"/>
      <c r="J882" s="3"/>
    </row>
    <row r="883" spans="1:10" ht="12.75" customHeight="1">
      <c r="A883" s="22"/>
      <c r="J883" s="3"/>
    </row>
    <row r="884" spans="1:10" ht="12.75" customHeight="1">
      <c r="A884" s="22"/>
      <c r="J884" s="3"/>
    </row>
    <row r="885" spans="1:10" ht="12.75" customHeight="1">
      <c r="A885" s="22"/>
      <c r="J885" s="3"/>
    </row>
    <row r="886" spans="1:10" ht="12.75" customHeight="1">
      <c r="A886" s="22"/>
      <c r="J886" s="3"/>
    </row>
    <row r="887" spans="1:10" ht="12.75" customHeight="1">
      <c r="A887" s="22"/>
      <c r="J887" s="3"/>
    </row>
    <row r="888" spans="1:10" ht="12.75" customHeight="1">
      <c r="A888" s="22"/>
      <c r="J888" s="3"/>
    </row>
    <row r="889" spans="1:10" ht="12.75" customHeight="1">
      <c r="A889" s="22"/>
      <c r="J889" s="3"/>
    </row>
    <row r="890" spans="1:10" ht="12.75" customHeight="1">
      <c r="A890" s="22"/>
      <c r="J890" s="3"/>
    </row>
    <row r="891" spans="1:10" ht="12.75" customHeight="1">
      <c r="A891" s="22"/>
      <c r="J891" s="3"/>
    </row>
    <row r="892" spans="1:10" ht="12.75" customHeight="1">
      <c r="A892" s="22"/>
      <c r="J892" s="3"/>
    </row>
    <row r="893" spans="1:10" ht="12.75" customHeight="1">
      <c r="A893" s="22"/>
      <c r="J893" s="3"/>
    </row>
    <row r="894" spans="1:10" ht="12.75" customHeight="1">
      <c r="A894" s="22"/>
      <c r="J894" s="3"/>
    </row>
    <row r="895" spans="1:10" ht="12.75" customHeight="1">
      <c r="A895" s="22"/>
      <c r="J895" s="3"/>
    </row>
    <row r="896" spans="1:10" ht="12.75" customHeight="1">
      <c r="A896" s="22"/>
      <c r="J896" s="3"/>
    </row>
    <row r="897" spans="1:10" ht="12.75" customHeight="1">
      <c r="A897" s="22"/>
      <c r="J897" s="3"/>
    </row>
    <row r="898" spans="1:10" ht="12.75" customHeight="1">
      <c r="A898" s="22"/>
      <c r="J898" s="3"/>
    </row>
    <row r="899" spans="1:10" ht="12.75" customHeight="1">
      <c r="A899" s="22"/>
      <c r="J899" s="3"/>
    </row>
    <row r="900" spans="1:10" ht="12.75" customHeight="1">
      <c r="A900" s="22"/>
      <c r="J900" s="3"/>
    </row>
    <row r="901" spans="1:10" ht="12.75" customHeight="1">
      <c r="A901" s="22"/>
      <c r="J901" s="3"/>
    </row>
    <row r="902" spans="1:10" ht="12.75" customHeight="1">
      <c r="A902" s="22"/>
      <c r="J902" s="3"/>
    </row>
    <row r="903" spans="1:10" ht="12.75" customHeight="1">
      <c r="A903" s="22"/>
      <c r="J903" s="3"/>
    </row>
    <row r="904" spans="1:10" ht="12.75" customHeight="1">
      <c r="A904" s="22"/>
      <c r="J904" s="3"/>
    </row>
    <row r="905" spans="1:10" ht="12.75" customHeight="1">
      <c r="A905" s="22"/>
      <c r="J905" s="3"/>
    </row>
    <row r="906" spans="1:10" ht="12.75" customHeight="1">
      <c r="A906" s="22"/>
      <c r="J906" s="3"/>
    </row>
    <row r="907" spans="1:10" ht="12.75" customHeight="1">
      <c r="A907" s="22"/>
      <c r="J907" s="3"/>
    </row>
    <row r="908" spans="1:10" ht="12.75" customHeight="1">
      <c r="A908" s="22"/>
      <c r="J908" s="3"/>
    </row>
    <row r="909" spans="1:10" ht="12.75" customHeight="1">
      <c r="A909" s="22"/>
      <c r="J909" s="3"/>
    </row>
    <row r="910" spans="1:10" ht="12.75" customHeight="1">
      <c r="A910" s="22"/>
      <c r="J910" s="3"/>
    </row>
    <row r="911" spans="1:10" ht="12.75" customHeight="1">
      <c r="A911" s="22"/>
      <c r="J911" s="3"/>
    </row>
    <row r="912" spans="1:10" ht="12.75" customHeight="1">
      <c r="A912" s="22"/>
      <c r="J912" s="3"/>
    </row>
    <row r="913" spans="1:10" ht="12.75" customHeight="1">
      <c r="A913" s="22"/>
      <c r="J913" s="3"/>
    </row>
    <row r="914" spans="1:10" ht="12.75" customHeight="1">
      <c r="A914" s="22"/>
      <c r="J914" s="3"/>
    </row>
    <row r="915" spans="1:10" ht="12.75" customHeight="1">
      <c r="A915" s="22"/>
      <c r="J915" s="3"/>
    </row>
    <row r="916" spans="1:10" ht="12.75" customHeight="1">
      <c r="A916" s="22"/>
      <c r="J916" s="3"/>
    </row>
    <row r="917" spans="1:10" ht="12.75" customHeight="1">
      <c r="A917" s="22"/>
      <c r="J917" s="3"/>
    </row>
    <row r="918" spans="1:10" ht="12.75" customHeight="1">
      <c r="A918" s="22"/>
      <c r="J918" s="3"/>
    </row>
    <row r="919" spans="1:10" ht="12.75" customHeight="1">
      <c r="A919" s="22"/>
      <c r="J919" s="3"/>
    </row>
    <row r="920" spans="1:10" ht="12.75" customHeight="1">
      <c r="A920" s="22"/>
      <c r="J920" s="3"/>
    </row>
    <row r="921" spans="1:10" ht="12.75" customHeight="1">
      <c r="A921" s="22"/>
      <c r="J921" s="3"/>
    </row>
    <row r="922" spans="1:10" ht="12.75" customHeight="1">
      <c r="A922" s="22"/>
      <c r="J922" s="3"/>
    </row>
    <row r="923" spans="1:10" ht="12.75" customHeight="1">
      <c r="A923" s="22"/>
      <c r="J923" s="3"/>
    </row>
    <row r="924" spans="1:10" ht="12.75" customHeight="1">
      <c r="A924" s="22"/>
      <c r="J924" s="3"/>
    </row>
    <row r="925" spans="1:10" ht="12.75" customHeight="1">
      <c r="A925" s="22"/>
      <c r="J925" s="3"/>
    </row>
    <row r="926" spans="1:10" ht="12.75" customHeight="1">
      <c r="A926" s="22"/>
      <c r="J926" s="3"/>
    </row>
    <row r="927" spans="1:10" ht="12.75" customHeight="1">
      <c r="A927" s="22"/>
      <c r="J927" s="3"/>
    </row>
    <row r="928" spans="1:10" ht="12.75" customHeight="1">
      <c r="A928" s="22"/>
      <c r="J928" s="3"/>
    </row>
    <row r="929" spans="1:10" ht="12.75" customHeight="1">
      <c r="A929" s="22"/>
      <c r="J929" s="3"/>
    </row>
    <row r="930" spans="1:10" ht="12.75" customHeight="1">
      <c r="A930" s="22"/>
      <c r="J930" s="3"/>
    </row>
    <row r="931" spans="1:10" ht="12.75" customHeight="1">
      <c r="A931" s="22"/>
      <c r="J931" s="3"/>
    </row>
    <row r="932" spans="1:10" ht="12.75" customHeight="1">
      <c r="A932" s="22"/>
      <c r="J932" s="3"/>
    </row>
    <row r="933" spans="1:10" ht="12.75" customHeight="1">
      <c r="A933" s="22"/>
      <c r="J933" s="3"/>
    </row>
    <row r="934" spans="1:10" ht="12.75" customHeight="1">
      <c r="A934" s="22"/>
      <c r="J934" s="3"/>
    </row>
    <row r="935" spans="1:10" ht="12.75" customHeight="1">
      <c r="A935" s="22"/>
      <c r="J935" s="3"/>
    </row>
    <row r="936" spans="1:10" ht="12.75" customHeight="1">
      <c r="A936" s="22"/>
      <c r="J936" s="3"/>
    </row>
    <row r="937" spans="1:10" ht="12.75" customHeight="1">
      <c r="A937" s="22"/>
      <c r="J937" s="3"/>
    </row>
    <row r="938" spans="1:10" ht="12.75" customHeight="1">
      <c r="A938" s="22"/>
      <c r="J938" s="3"/>
    </row>
    <row r="939" spans="1:10" ht="12.75" customHeight="1">
      <c r="A939" s="22"/>
      <c r="J939" s="3"/>
    </row>
    <row r="940" spans="1:10" ht="12.75" customHeight="1">
      <c r="A940" s="22"/>
      <c r="J940" s="3"/>
    </row>
    <row r="941" spans="1:10" ht="12.75" customHeight="1">
      <c r="A941" s="22"/>
      <c r="J941" s="3"/>
    </row>
    <row r="942" spans="1:10" ht="12.75" customHeight="1">
      <c r="A942" s="22"/>
      <c r="J942" s="3"/>
    </row>
    <row r="943" spans="1:10" ht="12.75" customHeight="1">
      <c r="A943" s="22"/>
      <c r="J943" s="3"/>
    </row>
    <row r="944" spans="1:10" ht="12.75" customHeight="1">
      <c r="A944" s="22"/>
      <c r="J944" s="3"/>
    </row>
    <row r="945" spans="1:10" ht="12.75" customHeight="1">
      <c r="A945" s="22"/>
      <c r="J945" s="3"/>
    </row>
    <row r="946" spans="1:10" ht="12.75" customHeight="1">
      <c r="A946" s="22"/>
      <c r="J946" s="3"/>
    </row>
    <row r="947" spans="1:10" ht="12.75" customHeight="1">
      <c r="A947" s="22"/>
      <c r="J947" s="3"/>
    </row>
    <row r="948" spans="1:10" ht="12.75" customHeight="1">
      <c r="A948" s="22"/>
      <c r="J948" s="3"/>
    </row>
    <row r="949" spans="1:10" ht="12.75" customHeight="1">
      <c r="A949" s="22"/>
      <c r="J949" s="3"/>
    </row>
    <row r="950" spans="1:10" ht="12.75" customHeight="1">
      <c r="A950" s="22"/>
      <c r="J950" s="3"/>
    </row>
    <row r="951" spans="1:10" ht="12.75" customHeight="1">
      <c r="A951" s="22"/>
      <c r="J951" s="3"/>
    </row>
    <row r="952" spans="1:10" ht="12.75" customHeight="1">
      <c r="A952" s="22"/>
      <c r="J952" s="3"/>
    </row>
    <row r="953" spans="1:10" ht="12.75" customHeight="1">
      <c r="A953" s="22"/>
      <c r="J953" s="3"/>
    </row>
    <row r="954" spans="1:10" ht="12.75" customHeight="1">
      <c r="A954" s="22"/>
      <c r="J954" s="3"/>
    </row>
    <row r="955" spans="1:10" ht="12.75" customHeight="1">
      <c r="A955" s="22"/>
      <c r="J955" s="3"/>
    </row>
    <row r="956" spans="1:10" ht="12.75" customHeight="1">
      <c r="A956" s="22"/>
      <c r="J956" s="3"/>
    </row>
    <row r="957" spans="1:10" ht="12.75" customHeight="1">
      <c r="A957" s="22"/>
      <c r="J957" s="3"/>
    </row>
    <row r="958" spans="1:10" ht="12.75" customHeight="1">
      <c r="A958" s="22"/>
      <c r="J958" s="3"/>
    </row>
    <row r="959" spans="1:10" ht="12.75" customHeight="1">
      <c r="A959" s="22"/>
      <c r="J959" s="3"/>
    </row>
    <row r="960" spans="1:10" ht="12.75" customHeight="1">
      <c r="A960" s="22"/>
      <c r="J960" s="3"/>
    </row>
    <row r="961" spans="1:10" ht="12.75" customHeight="1">
      <c r="A961" s="22"/>
      <c r="J961" s="3"/>
    </row>
    <row r="962" spans="1:10" ht="12.75" customHeight="1">
      <c r="A962" s="22"/>
      <c r="J962" s="3"/>
    </row>
    <row r="963" spans="1:10" ht="12.75" customHeight="1">
      <c r="A963" s="22"/>
      <c r="J963" s="3"/>
    </row>
    <row r="964" spans="1:10" ht="12.75" customHeight="1">
      <c r="A964" s="22"/>
      <c r="J964" s="3"/>
    </row>
    <row r="965" spans="1:10" ht="12.75" customHeight="1">
      <c r="A965" s="22"/>
      <c r="J965" s="3"/>
    </row>
    <row r="966" spans="1:10" ht="12.75" customHeight="1">
      <c r="A966" s="22"/>
      <c r="J966" s="3"/>
    </row>
    <row r="967" spans="1:10" ht="12.75" customHeight="1">
      <c r="A967" s="22"/>
      <c r="J967" s="3"/>
    </row>
    <row r="968" spans="1:10" ht="12.75" customHeight="1">
      <c r="A968" s="22"/>
      <c r="J968" s="3"/>
    </row>
    <row r="969" spans="1:10" ht="12.75" customHeight="1">
      <c r="A969" s="22"/>
      <c r="J969" s="3"/>
    </row>
    <row r="970" spans="1:10" ht="12.75" customHeight="1">
      <c r="A970" s="22"/>
      <c r="J970" s="3"/>
    </row>
    <row r="971" spans="1:10" ht="12.75" customHeight="1">
      <c r="A971" s="22"/>
      <c r="J971" s="3"/>
    </row>
    <row r="972" spans="1:10" ht="12.75" customHeight="1">
      <c r="A972" s="22"/>
      <c r="J972" s="3"/>
    </row>
    <row r="973" spans="1:10" ht="12.75" customHeight="1">
      <c r="A973" s="22"/>
      <c r="J973" s="3"/>
    </row>
    <row r="974" spans="1:10" ht="12.75" customHeight="1">
      <c r="A974" s="22"/>
      <c r="J974" s="3"/>
    </row>
    <row r="975" spans="1:10" ht="12.75" customHeight="1">
      <c r="A975" s="22"/>
      <c r="J975" s="3"/>
    </row>
    <row r="976" spans="1:10" ht="12.75" customHeight="1">
      <c r="A976" s="22"/>
      <c r="J976" s="3"/>
    </row>
    <row r="977" spans="1:10" ht="12.75" customHeight="1">
      <c r="A977" s="22"/>
      <c r="J977" s="3"/>
    </row>
    <row r="978" spans="1:10" ht="12.75" customHeight="1">
      <c r="A978" s="22"/>
      <c r="J978" s="3"/>
    </row>
    <row r="979" spans="1:10" ht="12.75" customHeight="1">
      <c r="A979" s="22"/>
      <c r="J979" s="3"/>
    </row>
    <row r="980" spans="1:10" ht="12.75" customHeight="1">
      <c r="A980" s="22"/>
      <c r="J980" s="3"/>
    </row>
    <row r="981" spans="1:10" ht="12.75" customHeight="1">
      <c r="A981" s="22"/>
      <c r="J981" s="3"/>
    </row>
    <row r="982" spans="1:10" ht="12.75" customHeight="1">
      <c r="A982" s="22"/>
      <c r="J982" s="3"/>
    </row>
    <row r="983" spans="1:10" ht="12.75" customHeight="1">
      <c r="A983" s="22"/>
      <c r="J983" s="3"/>
    </row>
    <row r="984" spans="1:10" ht="12.75" customHeight="1">
      <c r="A984" s="22"/>
      <c r="J984" s="3"/>
    </row>
    <row r="985" spans="1:10" ht="12.75" customHeight="1">
      <c r="A985" s="22"/>
      <c r="J985" s="3"/>
    </row>
    <row r="986" spans="1:10" ht="12.75" customHeight="1">
      <c r="A986" s="22"/>
      <c r="J986" s="3"/>
    </row>
    <row r="987" spans="1:10" ht="12.75" customHeight="1">
      <c r="A987" s="22"/>
      <c r="J987" s="3"/>
    </row>
    <row r="988" spans="1:10" ht="12.75" customHeight="1">
      <c r="A988" s="22"/>
      <c r="J988" s="3"/>
    </row>
    <row r="989" spans="1:10" ht="12.75" customHeight="1">
      <c r="A989" s="22"/>
      <c r="J989" s="3"/>
    </row>
    <row r="990" spans="1:10" ht="12.75" customHeight="1">
      <c r="A990" s="22"/>
      <c r="J990" s="3"/>
    </row>
    <row r="991" spans="1:10" ht="12.75" customHeight="1">
      <c r="A991" s="22"/>
      <c r="J991" s="3"/>
    </row>
    <row r="992" spans="1:10" ht="12.75" customHeight="1">
      <c r="A992" s="22"/>
      <c r="J992" s="3"/>
    </row>
    <row r="993" spans="1:10" ht="12.75" customHeight="1">
      <c r="A993" s="22"/>
      <c r="J993" s="3"/>
    </row>
    <row r="994" spans="1:10" ht="12.75" customHeight="1">
      <c r="A994" s="22"/>
      <c r="J994" s="3"/>
    </row>
    <row r="995" spans="1:10" ht="12.75" customHeight="1">
      <c r="A995" s="22"/>
      <c r="J995" s="3"/>
    </row>
    <row r="996" spans="1:10">
      <c r="J996" s="3"/>
    </row>
    <row r="997" spans="1:10">
      <c r="J997" s="3"/>
    </row>
    <row r="998" spans="1:10">
      <c r="J998" s="3"/>
    </row>
    <row r="999" spans="1:10">
      <c r="J999" s="3"/>
    </row>
    <row r="1000" spans="1:10">
      <c r="J1000" s="3"/>
    </row>
    <row r="1001" spans="1:10">
      <c r="J1001" s="3"/>
    </row>
  </sheetData>
  <mergeCells count="25">
    <mergeCell ref="A46:J46"/>
    <mergeCell ref="A47:J47"/>
    <mergeCell ref="A48:J48"/>
    <mergeCell ref="A9:J9"/>
    <mergeCell ref="B10:J10"/>
    <mergeCell ref="A11:J11"/>
    <mergeCell ref="A12:J12"/>
    <mergeCell ref="A15:A16"/>
    <mergeCell ref="B15:B16"/>
    <mergeCell ref="J15:J16"/>
    <mergeCell ref="J32:J36"/>
    <mergeCell ref="C15:C16"/>
    <mergeCell ref="A17:F17"/>
    <mergeCell ref="C19:C25"/>
    <mergeCell ref="C32:C37"/>
    <mergeCell ref="B7:C7"/>
    <mergeCell ref="B8:C8"/>
    <mergeCell ref="G15:G16"/>
    <mergeCell ref="H15:H16"/>
    <mergeCell ref="J19:J25"/>
    <mergeCell ref="A1:A3"/>
    <mergeCell ref="B1:H1"/>
    <mergeCell ref="B2:H2"/>
    <mergeCell ref="B5:C5"/>
    <mergeCell ref="B6:C6"/>
  </mergeCells>
  <pageMargins left="0.25" right="0.25" top="0.75" bottom="0.75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4845AA8E2D1248A9D86DC19758FBCA" ma:contentTypeVersion="14" ma:contentTypeDescription="Create a new document." ma:contentTypeScope="" ma:versionID="b0635fb31048faa687a9e9913c7494a7">
  <xsd:schema xmlns:xsd="http://www.w3.org/2001/XMLSchema" xmlns:xs="http://www.w3.org/2001/XMLSchema" xmlns:p="http://schemas.microsoft.com/office/2006/metadata/properties" xmlns:ns2="fbdcad3f-6e3c-45cb-bf96-8947e550e724" xmlns:ns3="b17da3de-44ce-4978-a9ee-c602b11cddd4" targetNamespace="http://schemas.microsoft.com/office/2006/metadata/properties" ma:root="true" ma:fieldsID="15cd09694741db6020ff67116c193c47" ns2:_="" ns3:_="">
    <xsd:import namespace="fbdcad3f-6e3c-45cb-bf96-8947e550e724"/>
    <xsd:import namespace="b17da3de-44ce-4978-a9ee-c602b11cd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cad3f-6e3c-45cb-bf96-8947e550e7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5f03c00-fedf-4139-9167-b2a092cf55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da3de-44ce-4978-a9ee-c602b11cdd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19e8996-1f76-4852-9bbc-8808c44889ac}" ma:internalName="TaxCatchAll" ma:showField="CatchAllData" ma:web="b17da3de-44ce-4978-a9ee-c602b11cdd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dcad3f-6e3c-45cb-bf96-8947e550e724">
      <Terms xmlns="http://schemas.microsoft.com/office/infopath/2007/PartnerControls"/>
    </lcf76f155ced4ddcb4097134ff3c332f>
    <TaxCatchAll xmlns="b17da3de-44ce-4978-a9ee-c602b11cdd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1CEB59-51FE-4B74-8782-99A51A29BD69}"/>
</file>

<file path=customXml/itemProps2.xml><?xml version="1.0" encoding="utf-8"?>
<ds:datastoreItem xmlns:ds="http://schemas.openxmlformats.org/officeDocument/2006/customXml" ds:itemID="{AC70AB55-5B9E-4BF6-B160-654B8E43C5B1}"/>
</file>

<file path=customXml/itemProps3.xml><?xml version="1.0" encoding="utf-8"?>
<ds:datastoreItem xmlns:ds="http://schemas.openxmlformats.org/officeDocument/2006/customXml" ds:itemID="{21FAB90C-2C3D-42AF-8877-CCFE0AC4DF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thúy</dc:creator>
  <cp:keywords/>
  <dc:description/>
  <cp:lastModifiedBy>(Ruby) Nguyễn Ngọc Thúy</cp:lastModifiedBy>
  <cp:revision/>
  <dcterms:created xsi:type="dcterms:W3CDTF">2022-12-08T03:07:05Z</dcterms:created>
  <dcterms:modified xsi:type="dcterms:W3CDTF">2024-08-27T06:59:54Z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0x0101004A4845AA8E2D1248A9D86DC19758FBCA</vt:lpwstr>
  </property>
  <property fmtid="{D5CDD505-2E9C-101B-9397-08002B2CF9AE}" pid="3" name="MediaServiceImageTags">
    <vt:lpwstr/>
  </property>
</Properties>
</file>