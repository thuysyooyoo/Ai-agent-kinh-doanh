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 AGENT THUY\AI agent Kinh doanh\templates\"/>
    </mc:Choice>
  </mc:AlternateContent>
  <xr:revisionPtr revIDLastSave="0" documentId="13_ncr:1_{42FB3D53-8534-4DDF-9436-44F4FDDA04A8}" xr6:coauthVersionLast="47" xr6:coauthVersionMax="47" xr10:uidLastSave="{00000000-0000-0000-0000-000000000000}"/>
  <bookViews>
    <workbookView xWindow="-120" yWindow="-120" windowWidth="27810" windowHeight="16440" firstSheet="4" activeTab="5" xr2:uid="{BB7865C8-EC4A-4E74-8C0E-12B3ABEDAD86}"/>
  </bookViews>
  <sheets>
    <sheet name="Ước tính giá không vận chuyển" sheetId="2" r:id="rId1"/>
    <sheet name="Ước tính giá 8.4. 1 sổ" sheetId="3" r:id="rId2"/>
    <sheet name="Ước tính giá với KH khai giảm" sheetId="4" r:id="rId3"/>
    <sheet name="UT khai giảm + k ghi nhận chií" sheetId="5" r:id="rId4"/>
    <sheet name="1 sổ gom cont" sheetId="6" r:id="rId5"/>
    <sheet name="1 sổ nguyên lô " sheetId="8" r:id="rId6"/>
  </sheets>
  <definedNames>
    <definedName name="_xlnm.Print_Area" localSheetId="5">'1 sổ nguyên lô '!$A$1:$S$61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6" l="1"/>
  <c r="J52" i="6"/>
  <c r="W46" i="6"/>
  <c r="W45" i="6"/>
  <c r="I52" i="6"/>
  <c r="I51" i="6" s="1"/>
  <c r="G52" i="6"/>
  <c r="Q54" i="6"/>
  <c r="Q47" i="6"/>
  <c r="J46" i="6"/>
  <c r="J44" i="6" s="1"/>
  <c r="J45" i="6"/>
  <c r="E52" i="6"/>
  <c r="I53" i="6"/>
  <c r="G53" i="6"/>
  <c r="C21" i="6"/>
  <c r="G51" i="6"/>
  <c r="E53" i="6"/>
  <c r="F58" i="8"/>
  <c r="E58" i="8"/>
  <c r="H44" i="6"/>
  <c r="G44" i="6"/>
  <c r="F44" i="6"/>
  <c r="I46" i="6"/>
  <c r="I45" i="6"/>
  <c r="I44" i="6" s="1"/>
  <c r="H54" i="8"/>
  <c r="I54" i="8" s="1"/>
  <c r="C60" i="8"/>
  <c r="C59" i="8"/>
  <c r="I52" i="8"/>
  <c r="G52" i="8"/>
  <c r="I51" i="8"/>
  <c r="C51" i="8"/>
  <c r="G51" i="8" s="1"/>
  <c r="H51" i="8" s="1"/>
  <c r="C50" i="8"/>
  <c r="G50" i="8" s="1"/>
  <c r="I50" i="8" s="1"/>
  <c r="C49" i="8"/>
  <c r="G49" i="8" s="1"/>
  <c r="C48" i="8"/>
  <c r="G48" i="8" s="1"/>
  <c r="C47" i="8"/>
  <c r="G47" i="8" s="1"/>
  <c r="C45" i="8"/>
  <c r="G45" i="8" s="1"/>
  <c r="C44" i="8"/>
  <c r="G44" i="8" s="1"/>
  <c r="C43" i="8"/>
  <c r="G43" i="8" s="1"/>
  <c r="G42" i="8"/>
  <c r="C41" i="8"/>
  <c r="G41" i="8" s="1"/>
  <c r="G40" i="8"/>
  <c r="C38" i="8"/>
  <c r="G38" i="8" s="1"/>
  <c r="G37" i="8" s="1"/>
  <c r="C36" i="8"/>
  <c r="G36" i="8" s="1"/>
  <c r="I36" i="8" s="1"/>
  <c r="I35" i="8" s="1"/>
  <c r="H35" i="8"/>
  <c r="C34" i="8"/>
  <c r="G34" i="8" s="1"/>
  <c r="I34" i="8" s="1"/>
  <c r="G33" i="8"/>
  <c r="I33" i="8" s="1"/>
  <c r="G32" i="8"/>
  <c r="I32" i="8" s="1"/>
  <c r="G31" i="8"/>
  <c r="I31" i="8" s="1"/>
  <c r="G30" i="8"/>
  <c r="I30" i="8" s="1"/>
  <c r="D58" i="8" s="1"/>
  <c r="G29" i="8"/>
  <c r="I29" i="8" s="1"/>
  <c r="C28" i="8"/>
  <c r="G28" i="8" s="1"/>
  <c r="I28" i="8" s="1"/>
  <c r="G27" i="8"/>
  <c r="I27" i="8" s="1"/>
  <c r="C26" i="8"/>
  <c r="G26" i="8" s="1"/>
  <c r="I26" i="8" s="1"/>
  <c r="G25" i="8"/>
  <c r="I25" i="8" s="1"/>
  <c r="C24" i="8"/>
  <c r="G24" i="8" s="1"/>
  <c r="I24" i="8" s="1"/>
  <c r="G58" i="8" s="1"/>
  <c r="H23" i="8"/>
  <c r="E45" i="6"/>
  <c r="E46" i="6"/>
  <c r="C23" i="3"/>
  <c r="H58" i="8" l="1"/>
  <c r="C58" i="8"/>
  <c r="H60" i="8" s="1"/>
  <c r="E44" i="6"/>
  <c r="C9" i="6" s="1"/>
  <c r="E51" i="6"/>
  <c r="G46" i="8"/>
  <c r="I23" i="8"/>
  <c r="G39" i="8"/>
  <c r="G23" i="8"/>
  <c r="G35" i="8"/>
  <c r="G20" i="8" s="1"/>
  <c r="H38" i="8"/>
  <c r="H40" i="8"/>
  <c r="H41" i="8"/>
  <c r="I41" i="8" s="1"/>
  <c r="H42" i="8"/>
  <c r="I42" i="8" s="1"/>
  <c r="H43" i="8"/>
  <c r="I43" i="8" s="1"/>
  <c r="H44" i="8"/>
  <c r="I44" i="8" s="1"/>
  <c r="H45" i="8"/>
  <c r="I45" i="8" s="1"/>
  <c r="H47" i="8"/>
  <c r="H48" i="8"/>
  <c r="I48" i="8" s="1"/>
  <c r="H49" i="8"/>
  <c r="I49" i="8" s="1"/>
  <c r="I53" i="8"/>
  <c r="K46" i="6"/>
  <c r="M46" i="6"/>
  <c r="M45" i="6"/>
  <c r="N46" i="6"/>
  <c r="S46" i="6" s="1"/>
  <c r="E38" i="6"/>
  <c r="R27" i="6"/>
  <c r="R26" i="6"/>
  <c r="R25" i="6"/>
  <c r="R24" i="6"/>
  <c r="C17" i="6"/>
  <c r="O12" i="6"/>
  <c r="O11" i="6"/>
  <c r="O10" i="6"/>
  <c r="O9" i="6"/>
  <c r="C18" i="3"/>
  <c r="C22" i="3"/>
  <c r="F33" i="3"/>
  <c r="F18" i="3"/>
  <c r="C27" i="3"/>
  <c r="D32" i="3"/>
  <c r="C9" i="3"/>
  <c r="C21" i="3"/>
  <c r="D12" i="5"/>
  <c r="F35" i="4"/>
  <c r="D35" i="4"/>
  <c r="F37" i="5"/>
  <c r="S27" i="5"/>
  <c r="S26" i="5"/>
  <c r="S25" i="5"/>
  <c r="S24" i="5"/>
  <c r="C24" i="5"/>
  <c r="C22" i="5"/>
  <c r="D18" i="5"/>
  <c r="C18" i="5"/>
  <c r="D13" i="5"/>
  <c r="P12" i="5"/>
  <c r="P11" i="5"/>
  <c r="D11" i="5"/>
  <c r="P10" i="5"/>
  <c r="P9" i="5"/>
  <c r="D9" i="5"/>
  <c r="D10" i="5" s="1"/>
  <c r="D19" i="5" s="1"/>
  <c r="D8" i="5"/>
  <c r="D7" i="5"/>
  <c r="D6" i="5"/>
  <c r="D22" i="5" s="1"/>
  <c r="D22" i="4"/>
  <c r="D10" i="4"/>
  <c r="D9" i="4"/>
  <c r="F37" i="4"/>
  <c r="S27" i="4"/>
  <c r="D18" i="4" s="1"/>
  <c r="S26" i="4"/>
  <c r="S25" i="4"/>
  <c r="S24" i="4"/>
  <c r="C24" i="4"/>
  <c r="C22" i="4"/>
  <c r="C18" i="4"/>
  <c r="P12" i="4"/>
  <c r="D17" i="4" s="1"/>
  <c r="D23" i="4" s="1"/>
  <c r="D13" i="4"/>
  <c r="P11" i="4"/>
  <c r="P10" i="4"/>
  <c r="D11" i="4"/>
  <c r="P9" i="4"/>
  <c r="D8" i="4"/>
  <c r="D7" i="4"/>
  <c r="D6" i="4"/>
  <c r="D11" i="3"/>
  <c r="D7" i="3"/>
  <c r="D8" i="3"/>
  <c r="D9" i="3"/>
  <c r="D18" i="3" s="1"/>
  <c r="D10" i="3"/>
  <c r="D12" i="3"/>
  <c r="D6" i="3"/>
  <c r="D23" i="3"/>
  <c r="D21" i="3"/>
  <c r="F38" i="3"/>
  <c r="S27" i="3"/>
  <c r="S26" i="3"/>
  <c r="S25" i="3"/>
  <c r="S24" i="3"/>
  <c r="P12" i="3"/>
  <c r="P11" i="3"/>
  <c r="P10" i="3"/>
  <c r="P9" i="3"/>
  <c r="O8" i="2"/>
  <c r="O9" i="2"/>
  <c r="O10" i="2"/>
  <c r="O11" i="2"/>
  <c r="R25" i="2"/>
  <c r="R26" i="2"/>
  <c r="R23" i="2"/>
  <c r="R24" i="2"/>
  <c r="C16" i="2"/>
  <c r="C15" i="2"/>
  <c r="C19" i="2" s="1"/>
  <c r="C20" i="2"/>
  <c r="C18" i="2"/>
  <c r="E28" i="2"/>
  <c r="C22" i="2"/>
  <c r="C29" i="2" s="1"/>
  <c r="I58" i="8" l="1"/>
  <c r="D59" i="8"/>
  <c r="Q46" i="6"/>
  <c r="R46" i="6" s="1"/>
  <c r="T46" i="6" s="1"/>
  <c r="V45" i="6"/>
  <c r="V46" i="6"/>
  <c r="K45" i="6"/>
  <c r="N45" i="6"/>
  <c r="Q45" i="6" s="1"/>
  <c r="R45" i="6" s="1"/>
  <c r="T45" i="6" s="1"/>
  <c r="J58" i="8"/>
  <c r="G60" i="8"/>
  <c r="F60" i="8"/>
  <c r="G59" i="8"/>
  <c r="F59" i="8"/>
  <c r="E60" i="8"/>
  <c r="H59" i="8"/>
  <c r="D60" i="8"/>
  <c r="E59" i="8"/>
  <c r="H46" i="8"/>
  <c r="I47" i="8"/>
  <c r="I46" i="8" s="1"/>
  <c r="H39" i="8"/>
  <c r="I40" i="8"/>
  <c r="I39" i="8" s="1"/>
  <c r="H37" i="8"/>
  <c r="H20" i="8" s="1"/>
  <c r="I38" i="8"/>
  <c r="M44" i="6"/>
  <c r="Q51" i="6" s="1"/>
  <c r="C23" i="6"/>
  <c r="C16" i="6"/>
  <c r="C22" i="6" s="1"/>
  <c r="F51" i="6" s="1"/>
  <c r="E35" i="6"/>
  <c r="C30" i="3"/>
  <c r="C28" i="3"/>
  <c r="C31" i="3" s="1"/>
  <c r="C33" i="3"/>
  <c r="C34" i="3" s="1"/>
  <c r="D27" i="3"/>
  <c r="D29" i="5"/>
  <c r="D32" i="5" s="1"/>
  <c r="D28" i="5"/>
  <c r="D33" i="5" s="1"/>
  <c r="D24" i="4"/>
  <c r="D24" i="5"/>
  <c r="D31" i="5" s="1"/>
  <c r="D17" i="5"/>
  <c r="D23" i="5" s="1"/>
  <c r="C17" i="5"/>
  <c r="C23" i="5" s="1"/>
  <c r="C19" i="5" s="1"/>
  <c r="C17" i="4"/>
  <c r="C23" i="4" s="1"/>
  <c r="D28" i="3"/>
  <c r="D31" i="3" s="1"/>
  <c r="D16" i="3"/>
  <c r="C16" i="3"/>
  <c r="D17" i="3"/>
  <c r="C17" i="3"/>
  <c r="C25" i="2"/>
  <c r="C30" i="2" s="1"/>
  <c r="E30" i="2" s="1"/>
  <c r="E29" i="2"/>
  <c r="S45" i="6" l="1"/>
  <c r="S44" i="6" s="1"/>
  <c r="N58" i="8"/>
  <c r="O58" i="8" s="1"/>
  <c r="R44" i="6"/>
  <c r="F53" i="6"/>
  <c r="F52" i="6"/>
  <c r="C18" i="6"/>
  <c r="H51" i="6"/>
  <c r="K44" i="6"/>
  <c r="U46" i="6"/>
  <c r="I59" i="8"/>
  <c r="S59" i="8" s="1"/>
  <c r="I60" i="8"/>
  <c r="S60" i="8" s="1"/>
  <c r="I37" i="8"/>
  <c r="I20" i="8" s="1"/>
  <c r="C27" i="6"/>
  <c r="D39" i="3"/>
  <c r="D40" i="3" s="1"/>
  <c r="C19" i="4"/>
  <c r="D19" i="4"/>
  <c r="C29" i="5"/>
  <c r="C32" i="5" s="1"/>
  <c r="D35" i="5" s="1"/>
  <c r="C28" i="5"/>
  <c r="D22" i="3"/>
  <c r="D30" i="3" s="1"/>
  <c r="M52" i="6" l="1"/>
  <c r="K53" i="6"/>
  <c r="P58" i="8"/>
  <c r="J59" i="8"/>
  <c r="Q58" i="8"/>
  <c r="R58" i="8" s="1"/>
  <c r="J60" i="8"/>
  <c r="C32" i="3"/>
  <c r="C33" i="5"/>
  <c r="C35" i="5" s="1"/>
  <c r="C31" i="5"/>
  <c r="E35" i="5" s="1"/>
  <c r="F35" i="5"/>
  <c r="C29" i="4"/>
  <c r="C32" i="4" s="1"/>
  <c r="C28" i="4"/>
  <c r="C31" i="4" s="1"/>
  <c r="C33" i="4"/>
  <c r="C38" i="4" s="1"/>
  <c r="D29" i="4"/>
  <c r="D32" i="4" s="1"/>
  <c r="D28" i="4"/>
  <c r="K52" i="6" l="1"/>
  <c r="K51" i="6" s="1"/>
  <c r="V52" i="6"/>
  <c r="M51" i="6"/>
  <c r="N60" i="8"/>
  <c r="O60" i="8" s="1"/>
  <c r="Q60" i="8" s="1"/>
  <c r="N59" i="8"/>
  <c r="P59" i="8" s="1"/>
  <c r="M53" i="6"/>
  <c r="V53" i="6" s="1"/>
  <c r="N53" i="6"/>
  <c r="S53" i="6" s="1"/>
  <c r="J51" i="6"/>
  <c r="N52" i="6"/>
  <c r="S52" i="6" s="1"/>
  <c r="U45" i="6"/>
  <c r="U44" i="6" s="1"/>
  <c r="T44" i="6"/>
  <c r="P60" i="8"/>
  <c r="D33" i="4"/>
  <c r="D38" i="4" s="1"/>
  <c r="D31" i="4"/>
  <c r="C38" i="5"/>
  <c r="E35" i="4"/>
  <c r="C35" i="4"/>
  <c r="O59" i="8" l="1"/>
  <c r="Q59" i="8" s="1"/>
  <c r="R59" i="8" s="1"/>
  <c r="S51" i="6"/>
  <c r="Q52" i="6"/>
  <c r="R52" i="6" s="1"/>
  <c r="Q53" i="6"/>
  <c r="R53" i="6" s="1"/>
  <c r="T53" i="6" s="1"/>
  <c r="W53" i="6" s="1"/>
  <c r="T59" i="8"/>
  <c r="T60" i="8"/>
  <c r="D36" i="3"/>
  <c r="E36" i="3"/>
  <c r="D38" i="5"/>
  <c r="D39" i="5" s="1"/>
  <c r="C39" i="5"/>
  <c r="F39" i="5" s="1"/>
  <c r="F38" i="5"/>
  <c r="D39" i="4"/>
  <c r="C39" i="4"/>
  <c r="F39" i="4" s="1"/>
  <c r="F38" i="4"/>
  <c r="U53" i="6" l="1"/>
  <c r="T52" i="6"/>
  <c r="W52" i="6" s="1"/>
  <c r="R51" i="6"/>
  <c r="R60" i="8"/>
  <c r="C36" i="3"/>
  <c r="F36" i="3"/>
  <c r="C39" i="3"/>
  <c r="U52" i="6" l="1"/>
  <c r="U51" i="6" s="1"/>
  <c r="T51" i="6"/>
  <c r="C40" i="3"/>
  <c r="F40" i="3" s="1"/>
  <c r="F39" i="3"/>
  <c r="E18" i="6"/>
  <c r="C35" i="6" l="1"/>
  <c r="C30" i="6"/>
  <c r="C32" i="6" s="1"/>
  <c r="C36" i="6" l="1"/>
  <c r="C28" i="6"/>
  <c r="C31" i="6" s="1"/>
  <c r="C33" i="6" s="1"/>
  <c r="E39" i="6" l="1"/>
  <c r="C39" i="6"/>
</calcChain>
</file>

<file path=xl/sharedStrings.xml><?xml version="1.0" encoding="utf-8"?>
<sst xmlns="http://schemas.openxmlformats.org/spreadsheetml/2006/main" count="920" uniqueCount="257">
  <si>
    <t>THÔNG TIN HÀNG</t>
  </si>
  <si>
    <t>Điền vào ô</t>
  </si>
  <si>
    <t>Vip khách hàng</t>
  </si>
  <si>
    <t>Pro</t>
  </si>
  <si>
    <t>Chọn trường phù hợp</t>
  </si>
  <si>
    <t>Tên mặt hàng</t>
  </si>
  <si>
    <t>Thông tin</t>
  </si>
  <si>
    <t>Đơn vị</t>
  </si>
  <si>
    <t>Lưu ý</t>
  </si>
  <si>
    <t>Đơn giá</t>
  </si>
  <si>
    <t>Phí ủy thác</t>
  </si>
  <si>
    <t>Biển</t>
  </si>
  <si>
    <t>Số lượng mặt hàng</t>
  </si>
  <si>
    <t>loại hàng</t>
  </si>
  <si>
    <t>Bộ</t>
  </si>
  <si>
    <t>Số cân</t>
  </si>
  <si>
    <t>kg</t>
  </si>
  <si>
    <t>Phí vận chuyển</t>
  </si>
  <si>
    <t>I) BẢNG PHÍ  VẬN CHUYỂN CỐ ĐỊNH THEO VIP - M3</t>
  </si>
  <si>
    <t> </t>
  </si>
  <si>
    <t>Số khối</t>
  </si>
  <si>
    <t>khối</t>
  </si>
  <si>
    <t>QUẢNG CHÂU</t>
  </si>
  <si>
    <t>Kho nhận hàng</t>
  </si>
  <si>
    <t>Basic</t>
  </si>
  <si>
    <t>Pro (-10%)</t>
  </si>
  <si>
    <t>Premium (-20%)</t>
  </si>
  <si>
    <t>Elite (-30%)</t>
  </si>
  <si>
    <t>MAx</t>
  </si>
  <si>
    <t>Giá trị hàng khai báo (ước tính) chưa VAT</t>
  </si>
  <si>
    <t>VNĐ</t>
  </si>
  <si>
    <t>Đơn giá (M3)
(Quảng Châu - Hà Nội)</t>
  </si>
  <si>
    <t>KHO QUẢNG CHÂU
Địa chỉ: 地址: 广东省广州市荔湾区海龙街道龙溪南围路12-9
收件电话 : 陈金明
电话:18925064709</t>
  </si>
  <si>
    <t>Thuế VAT</t>
  </si>
  <si>
    <t>%</t>
  </si>
  <si>
    <t>Đơn giá (M3)
(Quảng Châu - HCM)</t>
  </si>
  <si>
    <t>Thuế Nhập khẩu</t>
  </si>
  <si>
    <t>Đơn giá (M3)
(Bằng Tường - Hà Nội)</t>
  </si>
  <si>
    <t>KHO BẰNG TƯỜNG
地址： 广西凭祥市西环路河内酒店001号明秀仓库
📞 明秀 – 13397772008</t>
  </si>
  <si>
    <t>Thuế khác</t>
  </si>
  <si>
    <t>Đơn giá (M3)
(Bằng Tường - HCM)</t>
  </si>
  <si>
    <t>Đường vận chuyển</t>
  </si>
  <si>
    <t>II) BẢNG PHÍ  VẬN CHUYỂN CỐ ĐỊNH THEO VIP - KG</t>
  </si>
  <si>
    <t>Kho nhận hàng TQ</t>
  </si>
  <si>
    <t>Quảng Châu</t>
  </si>
  <si>
    <t>BẰNG TƯỜNG</t>
  </si>
  <si>
    <t>Kho giao hàng VN</t>
  </si>
  <si>
    <t>Hà Nội</t>
  </si>
  <si>
    <t>Đơn giá (KG)
(Quảng Châu - Hà Nội)</t>
  </si>
  <si>
    <t>Giá cước theo bảng giá VIP</t>
  </si>
  <si>
    <t>VND</t>
  </si>
  <si>
    <t>Đơn giá (KG)
(Quảng Châu - HCM)</t>
  </si>
  <si>
    <t>Giá cước theo bảng giá linh hoạt</t>
  </si>
  <si>
    <t>Đơn giá (KG)
(Bằng Tường - Hà Nội)</t>
  </si>
  <si>
    <t>Ước tính chi phí</t>
  </si>
  <si>
    <t>Đơn giá (KG)
(Bằng Tường - HCM)</t>
  </si>
  <si>
    <t>Phí phòng trừ rủi ro hàng giá trị cao</t>
  </si>
  <si>
    <t>Phí kiểm tra chất lượng</t>
  </si>
  <si>
    <t>I) BẢNG PHÍ  VẬN CHUYỂN ĐỐI VỚI HÀNG NHẸ - (TÍNH THEO KHỐI)</t>
  </si>
  <si>
    <t>Tổng thuế (tạm tính)</t>
  </si>
  <si>
    <t>Lượng hàng (M3)</t>
  </si>
  <si>
    <t>Hàng dưới 1m3</t>
  </si>
  <si>
    <t>Từ 1m3 - Dưới 2m3</t>
  </si>
  <si>
    <t>Từ 2m3 - Dưới 5m3</t>
  </si>
  <si>
    <t>Từ 5m3 - Dưới 10m3</t>
  </si>
  <si>
    <t>Từ 10m3 - Dưới 20m3</t>
  </si>
  <si>
    <t>Từ 20m3 - Dưới 30m3</t>
  </si>
  <si>
    <t>MAX</t>
  </si>
  <si>
    <t>Chi phí khác</t>
  </si>
  <si>
    <t>Nâng hạ/ship nội địa VN/Ship nội địa TQ….</t>
  </si>
  <si>
    <t>Chiết khấu</t>
  </si>
  <si>
    <t>Tổng chi phí tạm tính</t>
  </si>
  <si>
    <t>Quy trình thanh toán</t>
  </si>
  <si>
    <t>II) BẢNG PHÍ VẬN CHUYỂN ĐỐI VỚI HÀNG NẶNG - TÍNH THEO KG</t>
  </si>
  <si>
    <t>Thanh toán lần 1</t>
  </si>
  <si>
    <t>Lượng hàng (KG)</t>
  </si>
  <si>
    <t>Dưới 300kg</t>
  </si>
  <si>
    <t>Từ 300 - Dưới 500KG</t>
  </si>
  <si>
    <t>Từ 500 KG - Dưới 1,5 Tấn</t>
  </si>
  <si>
    <t>Từ 1,5 Tấn - Dưới 5 Tấn</t>
  </si>
  <si>
    <t>Từ 5 Tấn - Dưới 10Tấn</t>
  </si>
  <si>
    <t>Thanh toán lần 2 (ước tính) theo hóa đơn</t>
  </si>
  <si>
    <t>Số tiền công nợ còn lại</t>
  </si>
  <si>
    <t>PA1
(Cộng tất cả chi phí vào giá)</t>
  </si>
  <si>
    <t>PA2
(Không tất cả chi phí vào giá)</t>
  </si>
  <si>
    <t>Bằng Tường</t>
  </si>
  <si>
    <t>Hồ Chí Minh</t>
  </si>
  <si>
    <t>Ước tính giá CIF</t>
  </si>
  <si>
    <t>Phí ủy thác (chưa VAT)</t>
  </si>
  <si>
    <t>Phí vận chuyển (chưa VAT)</t>
  </si>
  <si>
    <t>Phí kiểm tra chất lượng (chưa VAT)</t>
  </si>
  <si>
    <t>Tổng chi phí thuế trực tiếp tạm tính</t>
  </si>
  <si>
    <t>Tổng VAT tại cửa khẩu tạm tính</t>
  </si>
  <si>
    <t>Tổng hợp giá thành</t>
  </si>
  <si>
    <t>P/A 1</t>
  </si>
  <si>
    <t>P/A 2</t>
  </si>
  <si>
    <t>Tổng chi phí về kho (chưa VAT)</t>
  </si>
  <si>
    <t>Tổng VAT hàng nhập kho</t>
  </si>
  <si>
    <t>gồm VAT đóng tại cửa khẩu, VAT của phí ktcl tại VN, VAT của phần phí vc tại VN</t>
  </si>
  <si>
    <t>GIá thành nhập kho (chưa VAT)</t>
  </si>
  <si>
    <t>Đơn giá khai báo (USD)</t>
  </si>
  <si>
    <t>Đơn giá xuát hóa đơn</t>
  </si>
  <si>
    <t>Thuế TNDN-TNCN tiêt kiệm được</t>
  </si>
  <si>
    <t>VAT đóng thêm</t>
  </si>
  <si>
    <t>Chi phí phát sinh thêm</t>
  </si>
  <si>
    <t xml:space="preserve">Lợi ích từ làm 1 sổ </t>
  </si>
  <si>
    <t>Clear hết chi phí</t>
  </si>
  <si>
    <t>Khách hàng phải thanh toán thêm cá nhân số tiền</t>
  </si>
  <si>
    <t>PA2
(khai báo giảm)</t>
  </si>
  <si>
    <t>Giá trị thực của sản phẩm</t>
  </si>
  <si>
    <t>Khai báo giảm</t>
  </si>
  <si>
    <t>Số thuế TNDN bị mất thêm</t>
  </si>
  <si>
    <t>VAT giảm</t>
  </si>
  <si>
    <t>Chi phí được giảm</t>
  </si>
  <si>
    <t>Lợi ích từ khai giảm</t>
  </si>
  <si>
    <t>PA2
(khai báo giảm + Không cộng chi phí)</t>
  </si>
  <si>
    <t>PA1
(Phương án 1 sổ ủy thác)</t>
  </si>
  <si>
    <t>Giá trị hàng gốc mua</t>
  </si>
  <si>
    <t>Điều kiện các loại hàng đều cùng loại thuế suất</t>
  </si>
  <si>
    <t>Tổng chi phí trên hóa đơn (đã VAT)</t>
  </si>
  <si>
    <t>Số lượng</t>
  </si>
  <si>
    <t>Tỉ giá usd tạm tính:</t>
  </si>
  <si>
    <t>Chi tiết phân bổ giá theo hàng</t>
  </si>
  <si>
    <t>Tên hàng</t>
  </si>
  <si>
    <t>Giá trị hàng
(1)</t>
  </si>
  <si>
    <t>Giá cước vận chuyển TQ VN (2)</t>
  </si>
  <si>
    <t>Phí ủy thác
(3)</t>
  </si>
  <si>
    <t>Phí rủi ro (4)</t>
  </si>
  <si>
    <t>Phí khác TQ (5)</t>
  </si>
  <si>
    <t>Phí VC TQ
(6)</t>
  </si>
  <si>
    <t>Phí VC Việt nam 
(7)=(2)-(6)</t>
  </si>
  <si>
    <t>Các phí khác ở VN có hóa đơn (chưa VAT)
(8)</t>
  </si>
  <si>
    <t>Giá CIF/DAP
(9)=(1)+(3)+(4)+(5)+(6)</t>
  </si>
  <si>
    <t>% THUẾ NK (10)</t>
  </si>
  <si>
    <t>% THUẾ KHÁC (11)</t>
  </si>
  <si>
    <t>% VAT (12)</t>
  </si>
  <si>
    <t>Thuế trực tiếp (nếu có)
(13)=(9)*(10)+[(9)+(9)*(10)]*(11)</t>
  </si>
  <si>
    <t>VAT
(14)=[(13)+(9)]*(12)</t>
  </si>
  <si>
    <t>Tổng chi phí (chưa VAT) + Thuế trực tiếp
(15)=(2)+(3)+(4)+(5)+(8)+(13)</t>
  </si>
  <si>
    <t>Giá trị xuất hóa đơn ( đã VAT)
(16)=(14)/(12)+(14)</t>
  </si>
  <si>
    <t>Số tiền phải chuyển thêm
(17)=(16)-(1)</t>
  </si>
  <si>
    <t>Đơn giá khai báo (DAP)</t>
  </si>
  <si>
    <t>Đơn giá xuất hóa đơn (chưa VAT)</t>
  </si>
  <si>
    <t>Tổng</t>
  </si>
  <si>
    <t>MH1</t>
  </si>
  <si>
    <t>MH2</t>
  </si>
  <si>
    <t xml:space="preserve">
CÔNG TY TNHH XUẤT NHẬP KHẨU &amp; THƯƠNG MẠI EUREKA</t>
  </si>
  <si>
    <t>Website: www.erktransport.com</t>
  </si>
  <si>
    <t>Địa chỉ: Tầng 3 Tòa nhà PC1 - Triều Khúc - Q.Thanh Xuân - TP. Hà Nội</t>
  </si>
  <si>
    <t>Người báo giá:</t>
  </si>
  <si>
    <t>Khách hàng:</t>
  </si>
  <si>
    <t>Email:</t>
  </si>
  <si>
    <t>Tên công ty:</t>
  </si>
  <si>
    <t>Tel:</t>
  </si>
  <si>
    <t>Mã số DN:</t>
  </si>
  <si>
    <t>Mã số Thuế:</t>
  </si>
  <si>
    <t>Địa chỉ:</t>
  </si>
  <si>
    <t>BẢNG BÁO GIÁ</t>
  </si>
  <si>
    <t>Kính gửi</t>
  </si>
  <si>
    <t>Quý khách hàng</t>
  </si>
  <si>
    <t>Tỉ giá USD/VND:</t>
  </si>
  <si>
    <t>Cảm ơn Quý công ty đã quan tâm đến dịch vụ giao nhận xuất nhập khẩu của công ty Eureka.</t>
  </si>
  <si>
    <t>Tỉ giá NDT/VND:</t>
  </si>
  <si>
    <r>
      <rPr>
        <sz val="9"/>
        <color theme="1"/>
        <rFont val="Arial"/>
        <family val="2"/>
      </rPr>
      <t xml:space="preserve">Chúng tôi hân hạnh gửi đến Quý công ty bảng báo giá dịch vụ giao nhận XNK, loại hình dịch vụ: </t>
    </r>
    <r>
      <rPr>
        <u/>
        <sz val="9"/>
        <color theme="1"/>
        <rFont val="Arial"/>
        <family val="2"/>
      </rPr>
      <t>Logistics</t>
    </r>
  </si>
  <si>
    <t>Ngày báo giá:</t>
  </si>
  <si>
    <t>THÔNG TIN LÔ HÀNG:</t>
  </si>
  <si>
    <t>Thời hạn báo giá</t>
  </si>
  <si>
    <t xml:space="preserve">Tên hàng: </t>
  </si>
  <si>
    <t>Cát mèo</t>
  </si>
  <si>
    <t>FCL</t>
  </si>
  <si>
    <t>Cảng đi: Tianjin, China</t>
  </si>
  <si>
    <t>Số lượng:</t>
  </si>
  <si>
    <t>Cont 20 GP</t>
  </si>
  <si>
    <t>Cảng đến: Hải Phòng, Việt Nam</t>
  </si>
  <si>
    <t>STT</t>
  </si>
  <si>
    <t>Tên dịch vụ</t>
  </si>
  <si>
    <t>Số lượng (cont/bill)</t>
  </si>
  <si>
    <t>Thành tiền</t>
  </si>
  <si>
    <t>Vat (%)</t>
  </si>
  <si>
    <t>Tổng tiền</t>
  </si>
  <si>
    <t>Ghi chú</t>
  </si>
  <si>
    <t>($)</t>
  </si>
  <si>
    <t>(¥)</t>
  </si>
  <si>
    <t>(đ)</t>
  </si>
  <si>
    <t>(VNĐ)</t>
  </si>
  <si>
    <t>TỔNG CỘNG</t>
  </si>
  <si>
    <t>Thuế NK (ước tính )</t>
  </si>
  <si>
    <t>Đối với KH loại 4 không báo chi phí thuế</t>
  </si>
  <si>
    <t>Thuế VAT ( ước tính )</t>
  </si>
  <si>
    <t>I. Phí dịch vụ giao nhận &amp; V/C (Quốc tế)</t>
  </si>
  <si>
    <t>THC</t>
  </si>
  <si>
    <t>lấy theo phí LCC đại lí báo hoặc tham khảo ở sheet: LOCAL CHARGE QUỐC TẾ</t>
  </si>
  <si>
    <t>Phí xuất được hóa đơn là phí Agent chuyên vận chuyển book</t>
  </si>
  <si>
    <t>DOC</t>
  </si>
  <si>
    <t>SEAL</t>
  </si>
  <si>
    <t>MNF + Port surcharge</t>
  </si>
  <si>
    <t>VGM</t>
  </si>
  <si>
    <t>CUSTOM</t>
  </si>
  <si>
    <t>Export license (nếu NCC có sẽ k phất phí này)</t>
  </si>
  <si>
    <t>Phải có giá trị hàng mới báo được</t>
  </si>
  <si>
    <t>lấy theo phí LCC đại lí báo , nếu khách hàng có nhu cầu</t>
  </si>
  <si>
    <t>Phí không xuất được hóa đơn là phí của agent đứng ra ủy thác xuất khẩu</t>
  </si>
  <si>
    <t>Phí làm CO (nếu có)</t>
  </si>
  <si>
    <t>Phí chuyển phát nhanh chứng từ (nếu có)</t>
  </si>
  <si>
    <t>Phí Kiểm hóa (nếu có)</t>
  </si>
  <si>
    <t>Pick up fee</t>
  </si>
  <si>
    <t>update theo từng lô</t>
  </si>
  <si>
    <t>II. Phí V/C Quốc tế</t>
  </si>
  <si>
    <t>Phí V/C (Quốc tế - Khác) (hãng ONE)</t>
  </si>
  <si>
    <t>III. Phí dịch vụ khai báo hải quan</t>
  </si>
  <si>
    <t>Phí dv thủ tục khai/truyền hải quan</t>
  </si>
  <si>
    <t>Giá nền theo từng loại hàng và từng chi cục: 
- HP: 600k
- HCM : 900k ( hàng khó, hàng đặc biệt chi phí cao hơn)</t>
  </si>
  <si>
    <t>IV. Phí dịch vụ giao nhận &amp; V/C (Nội địa)</t>
  </si>
  <si>
    <t>HC (Phí handling charge - Nội địa)</t>
  </si>
  <si>
    <t>Giá nền bằng 0</t>
  </si>
  <si>
    <t>THC ( Phí xếp dỡ tại cảng - Nội địa)</t>
  </si>
  <si>
    <t>tùy hãng tàu</t>
  </si>
  <si>
    <t>D/O ( Phí chứng từ - Nội địa)</t>
  </si>
  <si>
    <t>CIC ( Phí mất cân bằng cont - Nội địa)</t>
  </si>
  <si>
    <t>CCF (phí vệ sinh container)</t>
  </si>
  <si>
    <t>Phí Trucking (Nội địa VN)</t>
  </si>
  <si>
    <t>Theo thời điểm</t>
  </si>
  <si>
    <t>V. Chi phí khác</t>
  </si>
  <si>
    <t>Phí dịch vụkiểm hóa nếu hàng hóa không vấn đề gì</t>
  </si>
  <si>
    <t>Giá nền :HP: 500k/ cont nếu hàng không có vấn đề gì
HCM: 700k/cont</t>
  </si>
  <si>
    <t>Phí kiểm hóa ( chi hộ dự kiến)</t>
  </si>
  <si>
    <t>Chi hộ</t>
  </si>
  <si>
    <t>Phí nâng hạ (chi hộ dự kiến)</t>
  </si>
  <si>
    <t>chi hộ</t>
  </si>
  <si>
    <t>Phí cơ sở hạ tầng (chi hộ dự kiến)</t>
  </si>
  <si>
    <t>Phí dịch vụ kiểm dịch</t>
  </si>
  <si>
    <t>" - Chi phí cho cont uỷ thác nguyên lô 1 ngành hàng của khách hàng: 4,5tr chưa kể phí kiểm hoá phát sinh nếu có
- Chi phí cho cont uỷ thác nguyên lô nhưng nhiều loại hàng khác nhau (khác ngành hàng), =&lt; 15 mục hàng: 7,5tr chưa kể chi phí kiểm hoá phát nếu có 
- Chi phí cho cont uỷ thác nguyên lô nhưng hàng tạp nhiều ngành hàng, &gt;15 mục hàng: 17,5tr đã gồm kiểm hoá (k đc sai sót quá nhiều) "</t>
  </si>
  <si>
    <t>Phí kiểm dịch của nhà nước (chi hộ dự kiến)</t>
  </si>
  <si>
    <t xml:space="preserve">Phí ủy thác </t>
  </si>
  <si>
    <t>Tùy mặt hàng</t>
  </si>
  <si>
    <t>Phí khác không hóa đơn</t>
  </si>
  <si>
    <t>Phí nội địa TQ không có hóa đơn
(2)</t>
  </si>
  <si>
    <t>Phí Nội địa VN không có hóa đơn
(3)</t>
  </si>
  <si>
    <t>Phí ủy thác
(4)</t>
  </si>
  <si>
    <t>Phí QT có hóa đơn + phí vc quốc tế (5)</t>
  </si>
  <si>
    <t>Phí VC Việt nam có hóa đơn
(6) (chưa VAT)</t>
  </si>
  <si>
    <t>Giá EXW
(7)=(1)+(2)+(3)+(4)</t>
  </si>
  <si>
    <t>Giá CIF 
(8)=(7)+(5)</t>
  </si>
  <si>
    <t>Thuế suất NK 
(9)</t>
  </si>
  <si>
    <t>Thuế khác
(10)</t>
  </si>
  <si>
    <t>VAT
(11)</t>
  </si>
  <si>
    <t>Thuế trực tiếp (NK nếu có)
(12)=(8)*(9)+[(8)+(8)*(9)]*(10)</t>
  </si>
  <si>
    <t>VAT
(13)=[(12)+(8)]*(11)</t>
  </si>
  <si>
    <t>Tổng chi phí (chưa VAT) + Thuế trực tiếp
(14)=(2)+(3)+(4)+(5)+(6)+(12)</t>
  </si>
  <si>
    <t>Giá trị xuất hóa đơn ( đã VAT)
(15)=(13)/(11)+(13)</t>
  </si>
  <si>
    <t>Số tiền phải chuyển thêm
(16)=(15)-(1)</t>
  </si>
  <si>
    <t>Đơn giá khai báo (EXW)</t>
  </si>
  <si>
    <t>Bảng A</t>
  </si>
  <si>
    <t>Bảng B</t>
  </si>
  <si>
    <t>Bảng C1: phân bổ chi phí theo giá cước từng sản phẩm</t>
  </si>
  <si>
    <t>Bảng C2: phân bổ chi phí theo phân bổ giá khai báo</t>
  </si>
  <si>
    <t xml:space="preserve">Bảng C: Phân bổ giá thành khai báo và giá xuất hóa đơn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</si>
</sst>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\ &quot;₫&quot;;[Red]\-#,##0\ &quot;₫&quot;"/>
    <numFmt numFmtId="165" formatCode="_-* #,##0_-;\-* #,##0_-;_-* &quot;-&quot;??_-;_-@_-"/>
    <numFmt numFmtId="166" formatCode="_-* #,##0.000_-;\-* #,##0.000_-;_-* &quot;-&quot;??_-;_-@_-"/>
    <numFmt numFmtId="167" formatCode="_-* #,##0.0000_-;\-* #,##0.0000_-;_-* &quot;-&quot;??_-;_-@_-"/>
    <numFmt numFmtId="168" formatCode="#,##0.0000"/>
    <numFmt numFmtId="169" formatCode="_-* #,##0.0000_-;\-* #,##0.0000_-;_-* &quot;-&quot;????_-;_-@_-"/>
    <numFmt numFmtId="170" formatCode="_-* #,##0_-;\-* #,##0_-;_-* &quot;-&quot;????_-;_-@_-"/>
    <numFmt numFmtId="171" formatCode="_(* #,##0.00_);_(* \(#,##0.00\);_(* &quot;-&quot;??_);_(@_)"/>
    <numFmt numFmtId="172" formatCode="_-* #,##0\ _₫_-;\-* #,##0\ _₫_-;_-* &quot;-&quot;??\ _₫_-;_-@"/>
    <numFmt numFmtId="173" formatCode="_(* #,##0_);_(* \(#,##0\);_(* &quot;-&quot;??_);_(@_)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2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8"/>
      <color rgb="FFC22114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0000"/>
      <name val="Aptos Narrow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ptos Narrow"/>
      <family val="2"/>
      <scheme val="minor"/>
    </font>
    <font>
      <b/>
      <sz val="16"/>
      <color rgb="FFF16801"/>
      <name val="Arial"/>
      <family val="2"/>
    </font>
    <font>
      <b/>
      <sz val="10"/>
      <color rgb="FF000000"/>
      <name val="Aptos Narrow"/>
      <family val="2"/>
      <scheme val="minor"/>
    </font>
    <font>
      <u/>
      <sz val="9"/>
      <color theme="1"/>
      <name val="Arial"/>
      <family val="2"/>
    </font>
    <font>
      <sz val="9"/>
      <color theme="4"/>
      <name val="Arial"/>
      <family val="2"/>
    </font>
    <font>
      <sz val="9"/>
      <color theme="5"/>
      <name val="Aptos Narrow"/>
      <family val="2"/>
      <scheme val="minor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9"/>
      <color rgb="FFFF0000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6533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E1CC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16533"/>
        <bgColor indexed="64"/>
      </patternFill>
    </fill>
    <fill>
      <patternFill patternType="solid">
        <fgColor rgb="FF85200C"/>
        <bgColor rgb="FF85200C"/>
      </patternFill>
    </fill>
    <fill>
      <patternFill patternType="solid">
        <fgColor theme="8" tint="0.79998168889431442"/>
        <bgColor rgb="FFABE7E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58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double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tted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65" fontId="3" fillId="0" borderId="1" xfId="1" applyNumberFormat="1" applyFont="1" applyBorder="1"/>
    <xf numFmtId="165" fontId="0" fillId="2" borderId="1" xfId="1" applyNumberFormat="1" applyFont="1" applyFill="1" applyBorder="1"/>
    <xf numFmtId="0" fontId="3" fillId="5" borderId="1" xfId="0" applyFont="1" applyFill="1" applyBorder="1"/>
    <xf numFmtId="165" fontId="3" fillId="5" borderId="1" xfId="1" applyNumberFormat="1" applyFont="1" applyFill="1" applyBorder="1"/>
    <xf numFmtId="0" fontId="0" fillId="0" borderId="1" xfId="0" applyBorder="1" applyAlignment="1">
      <alignment wrapText="1"/>
    </xf>
    <xf numFmtId="165" fontId="3" fillId="2" borderId="1" xfId="1" applyNumberFormat="1" applyFont="1" applyFill="1" applyBorder="1"/>
    <xf numFmtId="165" fontId="0" fillId="2" borderId="1" xfId="0" applyNumberFormat="1" applyFill="1" applyBorder="1"/>
    <xf numFmtId="0" fontId="10" fillId="0" borderId="0" xfId="0" applyFont="1"/>
    <xf numFmtId="0" fontId="11" fillId="4" borderId="5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4" fillId="0" borderId="0" xfId="0" applyFont="1"/>
    <xf numFmtId="0" fontId="15" fillId="0" borderId="0" xfId="0" applyFont="1"/>
    <xf numFmtId="0" fontId="11" fillId="4" borderId="18" xfId="0" applyFont="1" applyFill="1" applyBorder="1" applyAlignment="1">
      <alignment wrapText="1"/>
    </xf>
    <xf numFmtId="0" fontId="11" fillId="4" borderId="20" xfId="0" applyFont="1" applyFill="1" applyBorder="1" applyAlignment="1">
      <alignment wrapText="1"/>
    </xf>
    <xf numFmtId="0" fontId="11" fillId="4" borderId="19" xfId="0" applyFont="1" applyFill="1" applyBorder="1" applyAlignment="1">
      <alignment wrapText="1"/>
    </xf>
    <xf numFmtId="0" fontId="11" fillId="4" borderId="21" xfId="0" applyFont="1" applyFill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164" fontId="13" fillId="0" borderId="4" xfId="0" applyNumberFormat="1" applyFont="1" applyBorder="1"/>
    <xf numFmtId="164" fontId="12" fillId="0" borderId="4" xfId="0" applyNumberFormat="1" applyFont="1" applyBorder="1"/>
    <xf numFmtId="164" fontId="12" fillId="0" borderId="17" xfId="0" applyNumberFormat="1" applyFont="1" applyBorder="1"/>
    <xf numFmtId="0" fontId="16" fillId="4" borderId="0" xfId="0" applyFont="1" applyFill="1" applyAlignment="1">
      <alignment wrapText="1"/>
    </xf>
    <xf numFmtId="0" fontId="17" fillId="0" borderId="0" xfId="0" applyFont="1"/>
    <xf numFmtId="165" fontId="3" fillId="8" borderId="1" xfId="0" applyNumberFormat="1" applyFont="1" applyFill="1" applyBorder="1" applyAlignment="1">
      <alignment horizontal="right"/>
    </xf>
    <xf numFmtId="0" fontId="17" fillId="7" borderId="0" xfId="0" applyFont="1" applyFill="1"/>
    <xf numFmtId="0" fontId="19" fillId="0" borderId="0" xfId="0" applyFont="1"/>
    <xf numFmtId="0" fontId="20" fillId="8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5" fontId="3" fillId="2" borderId="1" xfId="0" applyNumberFormat="1" applyFont="1" applyFill="1" applyBorder="1"/>
    <xf numFmtId="165" fontId="3" fillId="0" borderId="1" xfId="0" applyNumberFormat="1" applyFont="1" applyBorder="1"/>
    <xf numFmtId="0" fontId="0" fillId="0" borderId="0" xfId="0" quotePrefix="1"/>
    <xf numFmtId="0" fontId="3" fillId="0" borderId="0" xfId="0" quotePrefix="1" applyFont="1"/>
    <xf numFmtId="0" fontId="17" fillId="7" borderId="0" xfId="0" applyFont="1" applyFill="1" applyAlignment="1">
      <alignment wrapText="1"/>
    </xf>
    <xf numFmtId="164" fontId="0" fillId="0" borderId="0" xfId="0" applyNumberFormat="1"/>
    <xf numFmtId="0" fontId="20" fillId="8" borderId="33" xfId="0" applyFont="1" applyFill="1" applyBorder="1" applyAlignment="1">
      <alignment horizontal="center" vertical="center" wrapText="1"/>
    </xf>
    <xf numFmtId="0" fontId="20" fillId="8" borderId="3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0" borderId="33" xfId="0" applyBorder="1"/>
    <xf numFmtId="0" fontId="2" fillId="0" borderId="34" xfId="0" applyFont="1" applyBorder="1"/>
    <xf numFmtId="0" fontId="0" fillId="0" borderId="34" xfId="0" applyBorder="1"/>
    <xf numFmtId="0" fontId="2" fillId="0" borderId="34" xfId="0" applyFont="1" applyBorder="1" applyAlignment="1">
      <alignment wrapText="1"/>
    </xf>
    <xf numFmtId="0" fontId="0" fillId="9" borderId="36" xfId="0" applyFill="1" applyBorder="1"/>
    <xf numFmtId="0" fontId="3" fillId="9" borderId="0" xfId="0" applyFont="1" applyFill="1"/>
    <xf numFmtId="0" fontId="0" fillId="9" borderId="0" xfId="0" applyFill="1"/>
    <xf numFmtId="0" fontId="0" fillId="9" borderId="37" xfId="0" applyFill="1" applyBorder="1"/>
    <xf numFmtId="0" fontId="0" fillId="0" borderId="34" xfId="0" applyBorder="1" applyAlignment="1">
      <alignment wrapText="1"/>
    </xf>
    <xf numFmtId="0" fontId="0" fillId="5" borderId="33" xfId="0" applyFill="1" applyBorder="1"/>
    <xf numFmtId="0" fontId="0" fillId="5" borderId="34" xfId="0" applyFill="1" applyBorder="1"/>
    <xf numFmtId="0" fontId="0" fillId="0" borderId="36" xfId="0" applyBorder="1"/>
    <xf numFmtId="165" fontId="0" fillId="0" borderId="0" xfId="0" applyNumberFormat="1"/>
    <xf numFmtId="0" fontId="0" fillId="0" borderId="37" xfId="0" applyBorder="1"/>
    <xf numFmtId="0" fontId="0" fillId="0" borderId="38" xfId="0" applyBorder="1"/>
    <xf numFmtId="0" fontId="0" fillId="0" borderId="39" xfId="0" applyBorder="1"/>
    <xf numFmtId="165" fontId="21" fillId="0" borderId="39" xfId="0" applyNumberFormat="1" applyFont="1" applyBorder="1" applyAlignment="1">
      <alignment wrapText="1"/>
    </xf>
    <xf numFmtId="0" fontId="0" fillId="0" borderId="40" xfId="0" applyBorder="1" applyAlignment="1">
      <alignment wrapText="1"/>
    </xf>
    <xf numFmtId="0" fontId="0" fillId="0" borderId="0" xfId="0" applyAlignment="1">
      <alignment wrapText="1"/>
    </xf>
    <xf numFmtId="165" fontId="3" fillId="8" borderId="0" xfId="0" applyNumberFormat="1" applyFont="1" applyFill="1" applyAlignment="1">
      <alignment horizontal="right"/>
    </xf>
    <xf numFmtId="0" fontId="8" fillId="4" borderId="36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10" borderId="33" xfId="0" applyFill="1" applyBorder="1"/>
    <xf numFmtId="0" fontId="3" fillId="10" borderId="1" xfId="0" applyFont="1" applyFill="1" applyBorder="1"/>
    <xf numFmtId="165" fontId="3" fillId="10" borderId="1" xfId="1" applyNumberFormat="1" applyFont="1" applyFill="1" applyBorder="1"/>
    <xf numFmtId="165" fontId="0" fillId="10" borderId="34" xfId="0" applyNumberFormat="1" applyFill="1" applyBorder="1"/>
    <xf numFmtId="0" fontId="0" fillId="11" borderId="33" xfId="0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wrapText="1"/>
    </xf>
    <xf numFmtId="165" fontId="3" fillId="11" borderId="1" xfId="1" applyNumberFormat="1" applyFont="1" applyFill="1" applyBorder="1"/>
    <xf numFmtId="165" fontId="3" fillId="11" borderId="1" xfId="0" applyNumberFormat="1" applyFont="1" applyFill="1" applyBorder="1"/>
    <xf numFmtId="165" fontId="0" fillId="11" borderId="34" xfId="0" applyNumberFormat="1" applyFill="1" applyBorder="1"/>
    <xf numFmtId="0" fontId="3" fillId="11" borderId="34" xfId="0" applyFont="1" applyFill="1" applyBorder="1"/>
    <xf numFmtId="9" fontId="0" fillId="0" borderId="34" xfId="0" applyNumberFormat="1" applyBorder="1"/>
    <xf numFmtId="165" fontId="3" fillId="8" borderId="1" xfId="0" applyNumberFormat="1" applyFont="1" applyFill="1" applyBorder="1"/>
    <xf numFmtId="166" fontId="3" fillId="10" borderId="1" xfId="1" applyNumberFormat="1" applyFont="1" applyFill="1" applyBorder="1"/>
    <xf numFmtId="0" fontId="12" fillId="0" borderId="0" xfId="0" applyFont="1" applyAlignment="1">
      <alignment wrapText="1"/>
    </xf>
    <xf numFmtId="0" fontId="12" fillId="6" borderId="0" xfId="0" applyFont="1" applyFill="1" applyAlignment="1">
      <alignment wrapText="1"/>
    </xf>
    <xf numFmtId="164" fontId="12" fillId="0" borderId="0" xfId="0" applyNumberFormat="1" applyFont="1"/>
    <xf numFmtId="167" fontId="3" fillId="10" borderId="1" xfId="1" applyNumberFormat="1" applyFont="1" applyFill="1" applyBorder="1"/>
    <xf numFmtId="165" fontId="0" fillId="5" borderId="34" xfId="0" applyNumberFormat="1" applyFill="1" applyBorder="1" applyAlignment="1">
      <alignment wrapText="1"/>
    </xf>
    <xf numFmtId="165" fontId="0" fillId="0" borderId="34" xfId="0" applyNumberFormat="1" applyBorder="1"/>
    <xf numFmtId="165" fontId="0" fillId="0" borderId="37" xfId="0" applyNumberFormat="1" applyBorder="1"/>
    <xf numFmtId="0" fontId="3" fillId="2" borderId="1" xfId="0" applyFont="1" applyFill="1" applyBorder="1"/>
    <xf numFmtId="0" fontId="0" fillId="7" borderId="33" xfId="0" applyFill="1" applyBorder="1"/>
    <xf numFmtId="0" fontId="3" fillId="7" borderId="1" xfId="0" applyFont="1" applyFill="1" applyBorder="1"/>
    <xf numFmtId="165" fontId="3" fillId="7" borderId="1" xfId="1" applyNumberFormat="1" applyFont="1" applyFill="1" applyBorder="1"/>
    <xf numFmtId="168" fontId="0" fillId="2" borderId="1" xfId="0" applyNumberFormat="1" applyFill="1" applyBorder="1"/>
    <xf numFmtId="0" fontId="22" fillId="0" borderId="0" xfId="0" applyFont="1"/>
    <xf numFmtId="0" fontId="23" fillId="0" borderId="0" xfId="0" applyFont="1" applyAlignment="1">
      <alignment horizontal="center" wrapText="1"/>
    </xf>
    <xf numFmtId="170" fontId="0" fillId="0" borderId="0" xfId="0" applyNumberFormat="1"/>
    <xf numFmtId="0" fontId="3" fillId="0" borderId="35" xfId="0" applyFont="1" applyBorder="1" applyAlignment="1">
      <alignment horizontal="center" wrapText="1"/>
    </xf>
    <xf numFmtId="165" fontId="0" fillId="0" borderId="37" xfId="0" applyNumberFormat="1" applyBorder="1" applyAlignment="1">
      <alignment wrapText="1"/>
    </xf>
    <xf numFmtId="0" fontId="0" fillId="0" borderId="37" xfId="0" applyBorder="1" applyAlignment="1">
      <alignment wrapText="1"/>
    </xf>
    <xf numFmtId="0" fontId="0" fillId="9" borderId="37" xfId="0" applyFill="1" applyBorder="1" applyAlignment="1">
      <alignment wrapText="1"/>
    </xf>
    <xf numFmtId="165" fontId="0" fillId="0" borderId="34" xfId="0" applyNumberFormat="1" applyBorder="1" applyAlignment="1">
      <alignment wrapText="1"/>
    </xf>
    <xf numFmtId="0" fontId="0" fillId="5" borderId="34" xfId="0" applyFill="1" applyBorder="1" applyAlignment="1">
      <alignment wrapText="1"/>
    </xf>
    <xf numFmtId="165" fontId="0" fillId="10" borderId="34" xfId="0" applyNumberFormat="1" applyFill="1" applyBorder="1" applyAlignment="1">
      <alignment wrapText="1"/>
    </xf>
    <xf numFmtId="165" fontId="0" fillId="7" borderId="34" xfId="0" applyNumberFormat="1" applyFill="1" applyBorder="1" applyAlignment="1">
      <alignment wrapText="1"/>
    </xf>
    <xf numFmtId="165" fontId="0" fillId="2" borderId="34" xfId="0" applyNumberFormat="1" applyFill="1" applyBorder="1" applyAlignment="1">
      <alignment wrapText="1"/>
    </xf>
    <xf numFmtId="165" fontId="3" fillId="0" borderId="0" xfId="0" applyNumberFormat="1" applyFont="1"/>
    <xf numFmtId="0" fontId="3" fillId="0" borderId="0" xfId="0" applyFont="1" applyAlignment="1">
      <alignment wrapText="1"/>
    </xf>
    <xf numFmtId="0" fontId="24" fillId="0" borderId="0" xfId="0" applyFont="1"/>
    <xf numFmtId="0" fontId="25" fillId="0" borderId="0" xfId="0" applyFont="1"/>
    <xf numFmtId="2" fontId="24" fillId="0" borderId="0" xfId="0" applyNumberFormat="1" applyFont="1"/>
    <xf numFmtId="171" fontId="24" fillId="0" borderId="0" xfId="0" applyNumberFormat="1" applyFont="1"/>
    <xf numFmtId="0" fontId="24" fillId="0" borderId="0" xfId="0" quotePrefix="1" applyFont="1"/>
    <xf numFmtId="0" fontId="24" fillId="12" borderId="0" xfId="0" applyFont="1" applyFill="1" applyAlignment="1">
      <alignment horizontal="right"/>
    </xf>
    <xf numFmtId="0" fontId="26" fillId="0" borderId="0" xfId="0" applyFont="1"/>
    <xf numFmtId="14" fontId="26" fillId="0" borderId="0" xfId="0" applyNumberFormat="1" applyFont="1"/>
    <xf numFmtId="0" fontId="28" fillId="0" borderId="0" xfId="0" applyFont="1"/>
    <xf numFmtId="14" fontId="30" fillId="12" borderId="0" xfId="0" applyNumberFormat="1" applyFont="1" applyFill="1" applyAlignment="1">
      <alignment horizontal="right"/>
    </xf>
    <xf numFmtId="14" fontId="31" fillId="0" borderId="0" xfId="0" applyNumberFormat="1" applyFont="1"/>
    <xf numFmtId="0" fontId="32" fillId="13" borderId="43" xfId="0" applyFont="1" applyFill="1" applyBorder="1" applyAlignment="1">
      <alignment horizontal="center" vertical="center" wrapText="1"/>
    </xf>
    <xf numFmtId="171" fontId="32" fillId="13" borderId="43" xfId="0" applyNumberFormat="1" applyFont="1" applyFill="1" applyBorder="1" applyAlignment="1">
      <alignment horizontal="center" vertical="center" wrapText="1"/>
    </xf>
    <xf numFmtId="172" fontId="32" fillId="14" borderId="43" xfId="0" applyNumberFormat="1" applyFont="1" applyFill="1" applyBorder="1" applyAlignment="1">
      <alignment vertical="center" wrapText="1"/>
    </xf>
    <xf numFmtId="173" fontId="32" fillId="14" borderId="43" xfId="0" applyNumberFormat="1" applyFont="1" applyFill="1" applyBorder="1" applyAlignment="1">
      <alignment vertical="center" wrapText="1"/>
    </xf>
    <xf numFmtId="173" fontId="32" fillId="14" borderId="43" xfId="0" applyNumberFormat="1" applyFont="1" applyFill="1" applyBorder="1" applyAlignment="1">
      <alignment horizontal="right" vertical="center" wrapText="1"/>
    </xf>
    <xf numFmtId="0" fontId="32" fillId="14" borderId="46" xfId="0" applyFont="1" applyFill="1" applyBorder="1" applyAlignment="1">
      <alignment vertical="center" wrapText="1"/>
    </xf>
    <xf numFmtId="1" fontId="24" fillId="0" borderId="43" xfId="0" applyNumberFormat="1" applyFont="1" applyBorder="1" applyAlignment="1">
      <alignment horizontal="center" vertical="center" wrapText="1"/>
    </xf>
    <xf numFmtId="171" fontId="24" fillId="0" borderId="43" xfId="0" applyNumberFormat="1" applyFont="1" applyBorder="1" applyAlignment="1">
      <alignment vertical="center" wrapText="1"/>
    </xf>
    <xf numFmtId="173" fontId="24" fillId="0" borderId="43" xfId="0" applyNumberFormat="1" applyFont="1" applyBorder="1" applyAlignment="1">
      <alignment horizontal="center" vertical="center" wrapText="1"/>
    </xf>
    <xf numFmtId="173" fontId="24" fillId="0" borderId="43" xfId="0" applyNumberFormat="1" applyFont="1" applyBorder="1" applyAlignment="1">
      <alignment horizontal="right" vertical="center" wrapText="1"/>
    </xf>
    <xf numFmtId="9" fontId="24" fillId="0" borderId="43" xfId="0" applyNumberFormat="1" applyFont="1" applyBorder="1" applyAlignment="1">
      <alignment horizontal="right" vertical="center" wrapText="1"/>
    </xf>
    <xf numFmtId="171" fontId="35" fillId="0" borderId="46" xfId="0" applyNumberFormat="1" applyFont="1" applyBorder="1" applyAlignment="1">
      <alignment vertical="center" wrapText="1"/>
    </xf>
    <xf numFmtId="171" fontId="24" fillId="0" borderId="46" xfId="0" applyNumberFormat="1" applyFont="1" applyBorder="1" applyAlignment="1">
      <alignment vertical="center" wrapText="1"/>
    </xf>
    <xf numFmtId="1" fontId="25" fillId="15" borderId="43" xfId="0" applyNumberFormat="1" applyFont="1" applyFill="1" applyBorder="1" applyAlignment="1">
      <alignment horizontal="center" vertical="center" wrapText="1"/>
    </xf>
    <xf numFmtId="171" fontId="25" fillId="15" borderId="43" xfId="0" applyNumberFormat="1" applyFont="1" applyFill="1" applyBorder="1" applyAlignment="1">
      <alignment vertical="center"/>
    </xf>
    <xf numFmtId="173" fontId="25" fillId="15" borderId="43" xfId="0" applyNumberFormat="1" applyFont="1" applyFill="1" applyBorder="1" applyAlignment="1">
      <alignment horizontal="center" vertical="center" wrapText="1"/>
    </xf>
    <xf numFmtId="173" fontId="25" fillId="15" borderId="43" xfId="0" applyNumberFormat="1" applyFont="1" applyFill="1" applyBorder="1" applyAlignment="1">
      <alignment horizontal="right" vertical="center" wrapText="1"/>
    </xf>
    <xf numFmtId="171" fontId="25" fillId="15" borderId="46" xfId="0" applyNumberFormat="1" applyFont="1" applyFill="1" applyBorder="1" applyAlignment="1">
      <alignment vertical="center" wrapText="1"/>
    </xf>
    <xf numFmtId="0" fontId="0" fillId="16" borderId="0" xfId="0" applyFill="1"/>
    <xf numFmtId="1" fontId="24" fillId="12" borderId="43" xfId="0" applyNumberFormat="1" applyFont="1" applyFill="1" applyBorder="1" applyAlignment="1">
      <alignment vertical="center" wrapText="1"/>
    </xf>
    <xf numFmtId="171" fontId="24" fillId="12" borderId="43" xfId="0" applyNumberFormat="1" applyFont="1" applyFill="1" applyBorder="1" applyAlignment="1">
      <alignment vertical="center" wrapText="1"/>
    </xf>
    <xf numFmtId="173" fontId="24" fillId="12" borderId="43" xfId="0" applyNumberFormat="1" applyFont="1" applyFill="1" applyBorder="1" applyAlignment="1">
      <alignment horizontal="center" vertical="center" wrapText="1"/>
    </xf>
    <xf numFmtId="173" fontId="24" fillId="12" borderId="43" xfId="0" applyNumberFormat="1" applyFont="1" applyFill="1" applyBorder="1" applyAlignment="1">
      <alignment horizontal="right" vertical="center" wrapText="1"/>
    </xf>
    <xf numFmtId="173" fontId="24" fillId="17" borderId="43" xfId="0" applyNumberFormat="1" applyFont="1" applyFill="1" applyBorder="1" applyAlignment="1">
      <alignment horizontal="right" vertical="center" wrapText="1"/>
    </xf>
    <xf numFmtId="1" fontId="24" fillId="18" borderId="43" xfId="0" applyNumberFormat="1" applyFont="1" applyFill="1" applyBorder="1" applyAlignment="1">
      <alignment vertical="center" wrapText="1"/>
    </xf>
    <xf numFmtId="171" fontId="24" fillId="18" borderId="43" xfId="0" applyNumberFormat="1" applyFont="1" applyFill="1" applyBorder="1" applyAlignment="1">
      <alignment vertical="center" wrapText="1"/>
    </xf>
    <xf numFmtId="173" fontId="24" fillId="18" borderId="43" xfId="0" applyNumberFormat="1" applyFont="1" applyFill="1" applyBorder="1" applyAlignment="1">
      <alignment horizontal="center" vertical="center" wrapText="1"/>
    </xf>
    <xf numFmtId="173" fontId="24" fillId="18" borderId="43" xfId="0" applyNumberFormat="1" applyFont="1" applyFill="1" applyBorder="1" applyAlignment="1">
      <alignment horizontal="right" vertical="center" wrapText="1"/>
    </xf>
    <xf numFmtId="173" fontId="24" fillId="19" borderId="43" xfId="0" applyNumberFormat="1" applyFont="1" applyFill="1" applyBorder="1" applyAlignment="1">
      <alignment horizontal="right" vertical="center" wrapText="1"/>
    </xf>
    <xf numFmtId="171" fontId="24" fillId="8" borderId="46" xfId="0" applyNumberFormat="1" applyFont="1" applyFill="1" applyBorder="1" applyAlignment="1">
      <alignment vertical="center" wrapText="1"/>
    </xf>
    <xf numFmtId="0" fontId="0" fillId="8" borderId="0" xfId="0" applyFill="1"/>
    <xf numFmtId="1" fontId="24" fillId="20" borderId="43" xfId="0" applyNumberFormat="1" applyFont="1" applyFill="1" applyBorder="1" applyAlignment="1">
      <alignment vertical="center" wrapText="1"/>
    </xf>
    <xf numFmtId="171" fontId="24" fillId="20" borderId="43" xfId="0" applyNumberFormat="1" applyFont="1" applyFill="1" applyBorder="1" applyAlignment="1">
      <alignment vertical="center" wrapText="1"/>
    </xf>
    <xf numFmtId="173" fontId="24" fillId="20" borderId="43" xfId="0" applyNumberFormat="1" applyFont="1" applyFill="1" applyBorder="1" applyAlignment="1">
      <alignment horizontal="center" vertical="center" wrapText="1"/>
    </xf>
    <xf numFmtId="173" fontId="24" fillId="20" borderId="43" xfId="0" applyNumberFormat="1" applyFont="1" applyFill="1" applyBorder="1" applyAlignment="1">
      <alignment horizontal="left" vertical="center"/>
    </xf>
    <xf numFmtId="173" fontId="24" fillId="20" borderId="43" xfId="0" applyNumberFormat="1" applyFont="1" applyFill="1" applyBorder="1" applyAlignment="1">
      <alignment horizontal="right" vertical="center" wrapText="1"/>
    </xf>
    <xf numFmtId="171" fontId="25" fillId="15" borderId="43" xfId="0" applyNumberFormat="1" applyFont="1" applyFill="1" applyBorder="1" applyAlignment="1">
      <alignment vertical="center" wrapText="1"/>
    </xf>
    <xf numFmtId="171" fontId="24" fillId="19" borderId="43" xfId="0" applyNumberFormat="1" applyFont="1" applyFill="1" applyBorder="1" applyAlignment="1">
      <alignment vertical="center" wrapText="1"/>
    </xf>
    <xf numFmtId="173" fontId="24" fillId="19" borderId="43" xfId="0" applyNumberFormat="1" applyFont="1" applyFill="1" applyBorder="1" applyAlignment="1">
      <alignment horizontal="center" vertical="center" wrapText="1"/>
    </xf>
    <xf numFmtId="1" fontId="24" fillId="12" borderId="0" xfId="0" applyNumberFormat="1" applyFont="1" applyFill="1" applyAlignment="1">
      <alignment vertical="center" wrapText="1"/>
    </xf>
    <xf numFmtId="0" fontId="37" fillId="0" borderId="0" xfId="0" applyFont="1"/>
    <xf numFmtId="0" fontId="37" fillId="16" borderId="0" xfId="0" applyFont="1" applyFill="1"/>
    <xf numFmtId="0" fontId="39" fillId="0" borderId="0" xfId="0" applyFont="1" applyAlignment="1">
      <alignment horizontal="center" wrapText="1"/>
    </xf>
    <xf numFmtId="173" fontId="24" fillId="21" borderId="43" xfId="0" applyNumberFormat="1" applyFont="1" applyFill="1" applyBorder="1" applyAlignment="1">
      <alignment horizontal="right" vertical="center" wrapText="1"/>
    </xf>
    <xf numFmtId="170" fontId="3" fillId="0" borderId="0" xfId="0" applyNumberFormat="1" applyFont="1"/>
    <xf numFmtId="165" fontId="3" fillId="22" borderId="0" xfId="0" applyNumberFormat="1" applyFont="1" applyFill="1"/>
    <xf numFmtId="165" fontId="0" fillId="22" borderId="0" xfId="0" quotePrefix="1" applyNumberFormat="1" applyFill="1"/>
    <xf numFmtId="165" fontId="0" fillId="22" borderId="0" xfId="0" applyNumberFormat="1" applyFill="1"/>
    <xf numFmtId="0" fontId="38" fillId="23" borderId="0" xfId="0" applyFont="1" applyFill="1" applyAlignment="1">
      <alignment wrapText="1"/>
    </xf>
    <xf numFmtId="165" fontId="3" fillId="23" borderId="0" xfId="0" applyNumberFormat="1" applyFont="1" applyFill="1"/>
    <xf numFmtId="165" fontId="0" fillId="23" borderId="0" xfId="0" applyNumberFormat="1" applyFill="1"/>
    <xf numFmtId="0" fontId="38" fillId="24" borderId="0" xfId="0" applyFont="1" applyFill="1" applyAlignment="1">
      <alignment wrapText="1"/>
    </xf>
    <xf numFmtId="165" fontId="3" fillId="24" borderId="0" xfId="0" applyNumberFormat="1" applyFont="1" applyFill="1"/>
    <xf numFmtId="165" fontId="0" fillId="24" borderId="0" xfId="0" applyNumberFormat="1" applyFill="1"/>
    <xf numFmtId="0" fontId="39" fillId="25" borderId="0" xfId="0" applyFont="1" applyFill="1" applyAlignment="1">
      <alignment horizontal="center" wrapText="1"/>
    </xf>
    <xf numFmtId="165" fontId="3" fillId="25" borderId="0" xfId="0" applyNumberFormat="1" applyFont="1" applyFill="1"/>
    <xf numFmtId="165" fontId="0" fillId="25" borderId="0" xfId="0" applyNumberFormat="1" applyFill="1"/>
    <xf numFmtId="0" fontId="22" fillId="22" borderId="0" xfId="0" applyFont="1" applyFill="1" applyAlignment="1">
      <alignment wrapText="1"/>
    </xf>
    <xf numFmtId="0" fontId="22" fillId="23" borderId="0" xfId="0" applyFont="1" applyFill="1" applyAlignment="1">
      <alignment wrapText="1"/>
    </xf>
    <xf numFmtId="0" fontId="39" fillId="16" borderId="0" xfId="0" applyFont="1" applyFill="1" applyAlignment="1">
      <alignment horizontal="center" wrapText="1"/>
    </xf>
    <xf numFmtId="10" fontId="0" fillId="16" borderId="0" xfId="0" applyNumberFormat="1" applyFill="1"/>
    <xf numFmtId="0" fontId="3" fillId="16" borderId="0" xfId="0" applyFont="1" applyFill="1" applyAlignment="1">
      <alignment horizontal="right" wrapText="1"/>
    </xf>
    <xf numFmtId="0" fontId="39" fillId="2" borderId="0" xfId="0" applyFont="1" applyFill="1" applyAlignment="1">
      <alignment horizontal="center" wrapText="1"/>
    </xf>
    <xf numFmtId="165" fontId="3" fillId="2" borderId="0" xfId="0" applyNumberFormat="1" applyFont="1" applyFill="1"/>
    <xf numFmtId="170" fontId="0" fillId="2" borderId="0" xfId="0" applyNumberFormat="1" applyFill="1"/>
    <xf numFmtId="0" fontId="3" fillId="7" borderId="0" xfId="0" applyFont="1" applyFill="1" applyAlignment="1">
      <alignment wrapText="1"/>
    </xf>
    <xf numFmtId="0" fontId="0" fillId="7" borderId="0" xfId="0" applyFill="1"/>
    <xf numFmtId="167" fontId="0" fillId="7" borderId="0" xfId="0" applyNumberFormat="1" applyFill="1"/>
    <xf numFmtId="0" fontId="3" fillId="11" borderId="0" xfId="0" applyFont="1" applyFill="1" applyAlignment="1">
      <alignment wrapText="1"/>
    </xf>
    <xf numFmtId="165" fontId="3" fillId="11" borderId="0" xfId="0" applyNumberFormat="1" applyFont="1" applyFill="1"/>
    <xf numFmtId="170" fontId="0" fillId="11" borderId="0" xfId="0" applyNumberFormat="1" applyFill="1"/>
    <xf numFmtId="0" fontId="0" fillId="0" borderId="48" xfId="0" applyBorder="1"/>
    <xf numFmtId="164" fontId="0" fillId="0" borderId="48" xfId="0" applyNumberFormat="1" applyBorder="1"/>
    <xf numFmtId="0" fontId="3" fillId="0" borderId="48" xfId="0" applyFont="1" applyBorder="1"/>
    <xf numFmtId="0" fontId="22" fillId="0" borderId="48" xfId="0" applyFont="1" applyBorder="1" applyAlignment="1">
      <alignment wrapText="1"/>
    </xf>
    <xf numFmtId="0" fontId="22" fillId="0" borderId="48" xfId="0" applyFont="1" applyBorder="1"/>
    <xf numFmtId="0" fontId="3" fillId="0" borderId="48" xfId="0" applyFont="1" applyBorder="1" applyAlignment="1">
      <alignment wrapText="1"/>
    </xf>
    <xf numFmtId="165" fontId="3" fillId="0" borderId="48" xfId="0" applyNumberFormat="1" applyFont="1" applyBorder="1"/>
    <xf numFmtId="170" fontId="0" fillId="0" borderId="48" xfId="0" applyNumberFormat="1" applyBorder="1"/>
    <xf numFmtId="165" fontId="0" fillId="0" borderId="48" xfId="0" applyNumberFormat="1" applyBorder="1"/>
    <xf numFmtId="0" fontId="4" fillId="0" borderId="48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1" fillId="4" borderId="7" xfId="0" applyFont="1" applyFill="1" applyBorder="1" applyAlignment="1">
      <alignment wrapText="1"/>
    </xf>
    <xf numFmtId="0" fontId="11" fillId="4" borderId="20" xfId="0" applyFont="1" applyFill="1" applyBorder="1" applyAlignment="1">
      <alignment wrapText="1"/>
    </xf>
    <xf numFmtId="0" fontId="11" fillId="4" borderId="19" xfId="0" applyFont="1" applyFill="1" applyBorder="1" applyAlignment="1">
      <alignment wrapText="1"/>
    </xf>
    <xf numFmtId="0" fontId="12" fillId="0" borderId="0" xfId="0" applyFont="1" applyBorder="1" applyAlignment="1">
      <alignment wrapText="1"/>
    </xf>
    <xf numFmtId="0" fontId="12" fillId="6" borderId="0" xfId="0" applyFont="1" applyFill="1" applyBorder="1" applyAlignment="1">
      <alignment wrapText="1"/>
    </xf>
    <xf numFmtId="164" fontId="12" fillId="0" borderId="0" xfId="0" applyNumberFormat="1" applyFont="1" applyBorder="1"/>
    <xf numFmtId="10" fontId="0" fillId="0" borderId="48" xfId="0" applyNumberFormat="1" applyBorder="1"/>
    <xf numFmtId="10" fontId="0" fillId="0" borderId="0" xfId="0" applyNumberFormat="1"/>
    <xf numFmtId="0" fontId="22" fillId="26" borderId="48" xfId="0" applyFont="1" applyFill="1" applyBorder="1"/>
    <xf numFmtId="165" fontId="3" fillId="26" borderId="48" xfId="0" applyNumberFormat="1" applyFont="1" applyFill="1" applyBorder="1"/>
    <xf numFmtId="0" fontId="0" fillId="26" borderId="48" xfId="0" applyFill="1" applyBorder="1"/>
    <xf numFmtId="169" fontId="0" fillId="26" borderId="48" xfId="0" applyNumberFormat="1" applyFill="1" applyBorder="1"/>
    <xf numFmtId="0" fontId="23" fillId="26" borderId="48" xfId="0" applyFont="1" applyFill="1" applyBorder="1" applyAlignment="1">
      <alignment horizontal="center" wrapText="1"/>
    </xf>
    <xf numFmtId="0" fontId="23" fillId="16" borderId="48" xfId="0" applyFont="1" applyFill="1" applyBorder="1" applyAlignment="1">
      <alignment horizontal="center" wrapText="1"/>
    </xf>
    <xf numFmtId="165" fontId="3" fillId="16" borderId="48" xfId="0" applyNumberFormat="1" applyFont="1" applyFill="1" applyBorder="1"/>
    <xf numFmtId="165" fontId="0" fillId="16" borderId="48" xfId="0" applyNumberFormat="1" applyFill="1" applyBorder="1"/>
    <xf numFmtId="0" fontId="22" fillId="10" borderId="0" xfId="0" applyFont="1" applyFill="1" applyAlignment="1">
      <alignment wrapText="1"/>
    </xf>
    <xf numFmtId="165" fontId="3" fillId="10" borderId="48" xfId="0" applyNumberFormat="1" applyFont="1" applyFill="1" applyBorder="1"/>
    <xf numFmtId="165" fontId="0" fillId="10" borderId="48" xfId="0" quotePrefix="1" applyNumberFormat="1" applyFill="1" applyBorder="1"/>
    <xf numFmtId="165" fontId="0" fillId="10" borderId="48" xfId="0" applyNumberFormat="1" applyFill="1" applyBorder="1"/>
    <xf numFmtId="0" fontId="23" fillId="27" borderId="48" xfId="0" applyFont="1" applyFill="1" applyBorder="1" applyAlignment="1">
      <alignment horizontal="center" wrapText="1"/>
    </xf>
    <xf numFmtId="165" fontId="3" fillId="27" borderId="48" xfId="0" applyNumberFormat="1" applyFont="1" applyFill="1" applyBorder="1"/>
    <xf numFmtId="170" fontId="0" fillId="27" borderId="48" xfId="0" applyNumberFormat="1" applyFill="1" applyBorder="1"/>
    <xf numFmtId="0" fontId="23" fillId="25" borderId="48" xfId="0" applyFont="1" applyFill="1" applyBorder="1" applyAlignment="1">
      <alignment horizontal="center" wrapText="1"/>
    </xf>
    <xf numFmtId="10" fontId="23" fillId="25" borderId="48" xfId="0" applyNumberFormat="1" applyFont="1" applyFill="1" applyBorder="1" applyAlignment="1">
      <alignment horizontal="center" wrapText="1"/>
    </xf>
    <xf numFmtId="0" fontId="3" fillId="25" borderId="48" xfId="0" applyFont="1" applyFill="1" applyBorder="1"/>
    <xf numFmtId="10" fontId="3" fillId="25" borderId="48" xfId="0" applyNumberFormat="1" applyFont="1" applyFill="1" applyBorder="1"/>
    <xf numFmtId="169" fontId="0" fillId="25" borderId="48" xfId="0" applyNumberFormat="1" applyFill="1" applyBorder="1"/>
    <xf numFmtId="0" fontId="23" fillId="28" borderId="48" xfId="0" applyFont="1" applyFill="1" applyBorder="1" applyAlignment="1">
      <alignment horizontal="center" wrapText="1"/>
    </xf>
    <xf numFmtId="0" fontId="23" fillId="28" borderId="0" xfId="0" applyFont="1" applyFill="1" applyAlignment="1">
      <alignment horizontal="center" wrapText="1"/>
    </xf>
    <xf numFmtId="165" fontId="3" fillId="28" borderId="48" xfId="0" applyNumberFormat="1" applyFont="1" applyFill="1" applyBorder="1"/>
    <xf numFmtId="170" fontId="0" fillId="28" borderId="0" xfId="0" applyNumberFormat="1" applyFill="1"/>
    <xf numFmtId="0" fontId="39" fillId="29" borderId="0" xfId="0" applyFont="1" applyFill="1" applyAlignment="1">
      <alignment horizontal="center" wrapText="1"/>
    </xf>
    <xf numFmtId="165" fontId="3" fillId="29" borderId="48" xfId="0" applyNumberFormat="1" applyFont="1" applyFill="1" applyBorder="1"/>
    <xf numFmtId="170" fontId="0" fillId="29" borderId="48" xfId="0" applyNumberFormat="1" applyFill="1" applyBorder="1"/>
    <xf numFmtId="0" fontId="3" fillId="11" borderId="48" xfId="0" applyFont="1" applyFill="1" applyBorder="1" applyAlignment="1">
      <alignment wrapText="1"/>
    </xf>
    <xf numFmtId="165" fontId="3" fillId="11" borderId="48" xfId="0" applyNumberFormat="1" applyFont="1" applyFill="1" applyBorder="1"/>
    <xf numFmtId="170" fontId="0" fillId="11" borderId="48" xfId="0" applyNumberFormat="1" applyFill="1" applyBorder="1"/>
    <xf numFmtId="0" fontId="0" fillId="0" borderId="48" xfId="0" applyBorder="1" applyAlignment="1">
      <alignment wrapText="1"/>
    </xf>
    <xf numFmtId="0" fontId="0" fillId="11" borderId="48" xfId="0" applyFill="1" applyBorder="1" applyAlignment="1">
      <alignment wrapText="1"/>
    </xf>
    <xf numFmtId="167" fontId="0" fillId="11" borderId="48" xfId="0" applyNumberFormat="1" applyFill="1" applyBorder="1" applyAlignment="1">
      <alignment wrapText="1"/>
    </xf>
    <xf numFmtId="0" fontId="12" fillId="6" borderId="11" xfId="0" applyFont="1" applyFill="1" applyBorder="1" applyAlignment="1">
      <alignment wrapText="1"/>
    </xf>
    <xf numFmtId="0" fontId="12" fillId="6" borderId="10" xfId="0" applyFont="1" applyFill="1" applyBorder="1" applyAlignment="1">
      <alignment wrapText="1"/>
    </xf>
    <xf numFmtId="0" fontId="12" fillId="6" borderId="12" xfId="0" applyFont="1" applyFill="1" applyBorder="1" applyAlignment="1">
      <alignment wrapText="1"/>
    </xf>
    <xf numFmtId="0" fontId="12" fillId="6" borderId="23" xfId="0" applyFont="1" applyFill="1" applyBorder="1" applyAlignment="1">
      <alignment wrapText="1"/>
    </xf>
    <xf numFmtId="0" fontId="12" fillId="6" borderId="24" xfId="0" applyFont="1" applyFill="1" applyBorder="1" applyAlignment="1">
      <alignment wrapText="1"/>
    </xf>
    <xf numFmtId="0" fontId="12" fillId="6" borderId="25" xfId="0" applyFont="1" applyFill="1" applyBorder="1" applyAlignment="1">
      <alignment wrapText="1"/>
    </xf>
    <xf numFmtId="0" fontId="12" fillId="6" borderId="26" xfId="0" applyFont="1" applyFill="1" applyBorder="1" applyAlignment="1">
      <alignment wrapText="1"/>
    </xf>
    <xf numFmtId="0" fontId="12" fillId="6" borderId="27" xfId="0" applyFont="1" applyFill="1" applyBorder="1" applyAlignment="1">
      <alignment wrapText="1"/>
    </xf>
    <xf numFmtId="0" fontId="12" fillId="6" borderId="28" xfId="0" applyFont="1" applyFill="1" applyBorder="1" applyAlignment="1">
      <alignment wrapText="1"/>
    </xf>
    <xf numFmtId="0" fontId="12" fillId="6" borderId="14" xfId="0" applyFont="1" applyFill="1" applyBorder="1" applyAlignment="1">
      <alignment wrapText="1"/>
    </xf>
    <xf numFmtId="0" fontId="12" fillId="6" borderId="15" xfId="0" applyFont="1" applyFill="1" applyBorder="1" applyAlignment="1">
      <alignment wrapText="1"/>
    </xf>
    <xf numFmtId="0" fontId="11" fillId="4" borderId="20" xfId="0" applyFont="1" applyFill="1" applyBorder="1" applyAlignment="1">
      <alignment wrapText="1"/>
    </xf>
    <xf numFmtId="0" fontId="11" fillId="4" borderId="19" xfId="0" applyFont="1" applyFill="1" applyBorder="1" applyAlignment="1">
      <alignment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wrapText="1"/>
    </xf>
    <xf numFmtId="0" fontId="12" fillId="6" borderId="6" xfId="0" applyFont="1" applyFill="1" applyBorder="1" applyAlignment="1">
      <alignment wrapText="1"/>
    </xf>
    <xf numFmtId="0" fontId="12" fillId="6" borderId="13" xfId="0" applyFont="1" applyFill="1" applyBorder="1" applyAlignment="1">
      <alignment wrapText="1"/>
    </xf>
    <xf numFmtId="0" fontId="18" fillId="0" borderId="0" xfId="0" applyFont="1" applyAlignment="1">
      <alignment horizontal="left"/>
    </xf>
    <xf numFmtId="0" fontId="14" fillId="0" borderId="27" xfId="0" applyFont="1" applyBorder="1" applyAlignment="1">
      <alignment horizontal="left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6" fillId="0" borderId="47" xfId="0" applyFont="1" applyBorder="1" applyAlignment="1">
      <alignment horizontal="center" wrapText="1"/>
    </xf>
    <xf numFmtId="0" fontId="36" fillId="0" borderId="0" xfId="0" applyFont="1" applyAlignment="1">
      <alignment horizontal="center" wrapText="1"/>
    </xf>
    <xf numFmtId="171" fontId="32" fillId="13" borderId="44" xfId="0" applyNumberFormat="1" applyFont="1" applyFill="1" applyBorder="1" applyAlignment="1">
      <alignment horizontal="center" vertical="center" wrapText="1"/>
    </xf>
    <xf numFmtId="171" fontId="32" fillId="13" borderId="45" xfId="0" applyNumberFormat="1" applyFont="1" applyFill="1" applyBorder="1" applyAlignment="1">
      <alignment horizontal="center" vertical="center" wrapText="1"/>
    </xf>
    <xf numFmtId="1" fontId="32" fillId="14" borderId="43" xfId="0" applyNumberFormat="1" applyFont="1" applyFill="1" applyBorder="1" applyAlignment="1">
      <alignment horizontal="center" vertical="center" wrapText="1"/>
    </xf>
    <xf numFmtId="0" fontId="34" fillId="0" borderId="43" xfId="0" applyFont="1" applyBorder="1" applyAlignment="1"/>
    <xf numFmtId="2" fontId="24" fillId="0" borderId="0" xfId="0" applyNumberFormat="1" applyFont="1" applyAlignment="1"/>
    <xf numFmtId="0" fontId="0" fillId="0" borderId="0" xfId="0" applyAlignment="1"/>
    <xf numFmtId="0" fontId="27" fillId="0" borderId="0" xfId="0" applyFont="1" applyAlignment="1">
      <alignment horizontal="center"/>
    </xf>
    <xf numFmtId="1" fontId="32" fillId="13" borderId="43" xfId="0" applyNumberFormat="1" applyFont="1" applyFill="1" applyBorder="1" applyAlignment="1">
      <alignment horizontal="center" vertical="center" wrapText="1"/>
    </xf>
    <xf numFmtId="0" fontId="33" fillId="13" borderId="43" xfId="0" applyFont="1" applyFill="1" applyBorder="1" applyAlignment="1">
      <alignment horizontal="center" vertical="center"/>
    </xf>
    <xf numFmtId="0" fontId="32" fillId="13" borderId="43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0" xfId="0" applyBorder="1"/>
    <xf numFmtId="0" fontId="0" fillId="0" borderId="54" xfId="0" applyBorder="1"/>
    <xf numFmtId="0" fontId="3" fillId="0" borderId="53" xfId="0" applyFont="1" applyBorder="1"/>
    <xf numFmtId="0" fontId="3" fillId="0" borderId="0" xfId="0" applyFont="1" applyBorder="1"/>
    <xf numFmtId="0" fontId="18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54" xfId="0" applyFont="1" applyBorder="1"/>
    <xf numFmtId="0" fontId="16" fillId="4" borderId="0" xfId="0" applyFont="1" applyFill="1" applyBorder="1" applyAlignment="1">
      <alignment wrapText="1"/>
    </xf>
    <xf numFmtId="0" fontId="17" fillId="7" borderId="0" xfId="0" applyFont="1" applyFill="1" applyBorder="1" applyAlignment="1">
      <alignment wrapText="1"/>
    </xf>
    <xf numFmtId="0" fontId="19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7" fillId="0" borderId="0" xfId="0" applyFont="1" applyBorder="1"/>
    <xf numFmtId="0" fontId="5" fillId="0" borderId="0" xfId="0" applyFont="1" applyBorder="1"/>
    <xf numFmtId="0" fontId="5" fillId="0" borderId="54" xfId="0" applyFont="1" applyBorder="1"/>
    <xf numFmtId="0" fontId="15" fillId="0" borderId="54" xfId="0" applyFont="1" applyBorder="1"/>
    <xf numFmtId="0" fontId="16" fillId="4" borderId="54" xfId="0" applyFont="1" applyFill="1" applyBorder="1" applyAlignment="1">
      <alignment wrapText="1"/>
    </xf>
    <xf numFmtId="0" fontId="17" fillId="7" borderId="54" xfId="0" applyFont="1" applyFill="1" applyBorder="1"/>
    <xf numFmtId="0" fontId="0" fillId="0" borderId="55" xfId="0" applyBorder="1"/>
    <xf numFmtId="0" fontId="12" fillId="0" borderId="56" xfId="0" applyFont="1" applyBorder="1" applyAlignment="1">
      <alignment wrapText="1"/>
    </xf>
    <xf numFmtId="0" fontId="12" fillId="6" borderId="56" xfId="0" applyFont="1" applyFill="1" applyBorder="1" applyAlignment="1">
      <alignment wrapText="1"/>
    </xf>
    <xf numFmtId="164" fontId="12" fillId="0" borderId="56" xfId="0" applyNumberFormat="1" applyFont="1" applyBorder="1"/>
    <xf numFmtId="0" fontId="0" fillId="0" borderId="57" xfId="0" applyBorder="1"/>
    <xf numFmtId="173" fontId="24" fillId="12" borderId="0" xfId="0" applyNumberFormat="1" applyFont="1" applyFill="1" applyBorder="1" applyAlignment="1">
      <alignment horizontal="center" vertical="center" wrapText="1"/>
    </xf>
    <xf numFmtId="173" fontId="24" fillId="12" borderId="0" xfId="0" applyNumberFormat="1" applyFont="1" applyFill="1" applyBorder="1" applyAlignment="1">
      <alignment horizontal="right" vertical="center" wrapText="1"/>
    </xf>
    <xf numFmtId="173" fontId="24" fillId="18" borderId="0" xfId="0" applyNumberFormat="1" applyFont="1" applyFill="1" applyBorder="1" applyAlignment="1">
      <alignment horizontal="right" vertical="center" wrapText="1"/>
    </xf>
    <xf numFmtId="173" fontId="24" fillId="21" borderId="0" xfId="0" applyNumberFormat="1" applyFont="1" applyFill="1" applyBorder="1" applyAlignment="1">
      <alignment horizontal="right" vertical="center" wrapText="1"/>
    </xf>
    <xf numFmtId="173" fontId="24" fillId="17" borderId="0" xfId="0" applyNumberFormat="1" applyFont="1" applyFill="1" applyBorder="1" applyAlignment="1">
      <alignment horizontal="right" vertical="center" wrapText="1"/>
    </xf>
    <xf numFmtId="1" fontId="24" fillId="12" borderId="0" xfId="0" applyNumberFormat="1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0</xdr:col>
      <xdr:colOff>304800</xdr:colOff>
      <xdr:row>1</xdr:row>
      <xdr:rowOff>114300</xdr:rowOff>
    </xdr:to>
    <xdr:sp macro="" textlink="">
      <xdr:nvSpPr>
        <xdr:cNvPr id="2" name="Hình chữ nhật 1" descr="data:image/png;base64,iVBORw0KGgoAAAANSUhEUgAAAGUAAAAXCAYAAAASloEFAAAKN0lEQVRoQ+1ZfXQU1RX/3ZndzUJCQgIFwZDsbuIHISTZHRRBLWjrKa22laPpl9piTXYC9g/t6alS0VJtLcc/qtaWk52IyqHYWlpttceetlpRj5HUzGYTCmLMzm4wwYgCwQQw2Z25PW82GzZRScJHjed4/5p9c9+d+36/++697y3hM5l0CNCk8+hT5JBHUTdIzF8VLhthbcHpcv0zUk4BSZ+idgAoAfgFQ9cuPwVTI6Z+RspJIllW9lPXB1N6BsR0i1mNhzXtJE19aNoIUg6UXzDP4XCedbqMn0k7bJrW9J1N+pn8xolsl1TUzWInvyN0klKiZO9rjxiny5cRpDBA+8sXz3I5pL8xaNHp+sgZsvNqQaRx6RmyPaZZX5V6DmS0C8VBV3JG16ubDo45aZwKH5u+BEG9lRfdCkmaSIpLkMUfjPPbIEbfaF2LKYtlPDqWDYtx38zWxtsAkE9RLaHPTOti4fpfpOd6lbq7CXwnA0dieihHjPv86r2QsJYBg5jbQHS1GJcO73V3dPx9oKxsTc4xd/IpIvpipg9kWhdHIw2N6TFfIHgLiO4Xn80HZ+m6lihauDrf4bT2gDBLbCAi8keb6/8rfPQGgmuI6Dej1vWG5HBd2NH00PsjvjXW4ke/7y1fWsIyFU103vj1zXwm6c9j6VtsXTOzdceTqK6WfUZB0ibFwrJYS+ilYeAU9Z8ArgCj2wiHCsW4NxDcTUTzR9lPGnrIaYPqMtsBmgmGIHonCB4AeQLkBPj8t3QtapMbCL4CIrFTdxl6qPzsC2+ekWUm9wCYCfAgW+a5sZZNnSld9UkQVto+Ai0A3iNAkE4A64aujchKE9kFw+voVZaWwOSVFtNdIEwbC8BTeS9ZPCJi07bykllNtHt7v8ezyi3NyDomxomT50TDm0RHZIsvoLaDcA6Dm2K6dpE9pqjvpoCzIVorAdtEtRZg+xT13wAuE7WbJNkTfW3jW4oSdB4CvQcgl0GbY3r9qiE7gjQCY2MyIa2TneZbRJQNoH/AYc7vbnq4K6UXLAIobutavNZo0TakgkO9nghbxPNgkgq7Wuu7036fFCmZIPPy5Q709Z2ynbTN3mTWJibckP5dEGk8oe2iReq1DsY2oX8kcTTnnbYtRzJ2yiAAJ0BrDb3eBsMXUD8AIYuZfxELa+vSuqUX1C6wLEmkGgw4+ud1N221QRVS4q+7kyW+G+Cdhq5VDJHCNq3MP6BUGnOC0W9ZA/Pikcd6MzCi5cvXy+L39u3r7R1tz7+w9lyY0hvi2TLJG4/UC+JsOW1gpg3Gyi44K9clLQSk6ZnkjfdZgrSRwXYkEzCYH2nMOtFcb0B9hghXAdxl6Nq84UVnFGIkrfOM1ob2wsq6s10OtsEmokuizfWvpPU9inqXBPzMBhr069S4JZzoJ6YVAAIA3jT00LlAtexTUikzQwaPJI4WZAZF+l3p4utyzcS0FQDfSIRyBhwETBW7T6TJfGK3qElnjJS04d6FixVLlr8B4FoRGOMlJVOPGf0E2NGbKWRhQ/7Oxr+KMZ+iCnBkZjwTC4e+NkyKv/YaSNKfxG9DD9nBV6wEvyODtgq0DbAbGUBk1IiPdZWB7TE9dJm3quYKkmVRr0Y5Zl5pND/8bOagp6pmuSTLYmxKapy7GGJdVJLaxWg39NB5I9Z3MmBNdE7Ms9w9njn5uX1llpQ15tlDspK+6W3/iQ2Rkkoj4HtiunZX+jteRb2HADs9pUnxBoIhIgoC6DP0UG6mT15FjZIIHuaXkkyrP8pft0WH21vru72KupmA79rfZX5R1C0CzQUQNfRQ6XBgKME8gHoAuBnY4wRf2q5roj6JYBJpdiozPx0La1//v5MyeoEHKpasIIkeByBS3IRSKAGJ/Eij6/jCVZsUYroxGq5/bHg8EPwXUm1twtBDtr4voAoAPw+gx9BDczL98i1SnwPjCwz0xEa9A9ZLwHq77R4C1G4WCLQjqtcvmaMEi6aA7E7LMnF1PBKyd7HHX7tMkqTtmYGRYcOud8R8bzSs3fGJk5J2QJyFDlUsuR0SXUdANgOi1ZYyHLS7qlHSXxBpFOeANEDpgrslFp67CtW7yNcx/XuQpE2pSMbWWDh0/RCY+wDMsRhPxsOhazLtev0115Ik2w2DCb68U9deEFwXK0G/DGpi8OqYrj08ZEecr3KY0RALh8TOg1cJ9hBoNoBuw3ewGNu2mSVK8DIGiY4OFnh+XNf2+JRgHjO2EJF9kUnglVFd+8ukIWU02gerLu4HWLSVop/fPyPSKBZ5QvEpwbjAbkipjxnZRMeJtZhWxMP1//hc2ZqcaVNMcUgjtlAdawnZ9SYtduvLFAGhbGjsMMASQHbLz4QnYs2hbw2RYtcxAq+K6tpmm5RFq88jtsQ5RSB9pdEcejZ17rFEINjpm8H7CCSusYYDjy1UxVpCrZOYlKX2Ym0HGVsLWhvtCD+RzFWCU7NAoh4cv7Njuh7Ev7Mj1JySH4880Ovzq4sg4TUxlg92ZXY7afvClhu8GZBEc5KWpGVydTySiuaSirpydvJO8ZwAl6YPk6lTu9pChEoAxww9JLorzFtUV+5kFjcBqfMcY3/StC53OFLtt2niys5IaERzMKF8PhZAp/K+V7koYJnScJEn4Mb8SONwjTgV25+2uZOGlINVS8Wd1U+OA8jXOSUWVxIjZFp4x+ufNpAn6u9kIuVlAJeMtYDME77obuItDS+WVNwwyzHgPCbLbt69e2N/4YKbCrp2vX8Y2GYWBm4q7Qpv6hCpyUwcoyxye3ISzk6hJ77lCwTXE6xnorkdraVdC+W8vAGr54gz15GdcHXq2tuiLuzd+d77wAI+//x38/fs+e0BTyAYzPz/pNhf+2XTnbO969X77cZknv/7cx2Qb3dNNe9I9rmmRNvq3/VU1RWnT+3e8prZgxKc3W2F+0oqemZG2+r3Z6578pBSueRtkF0ETySDBRknfG8g+HNxVeLxB39JjChLKIiHtfu8frWSYClM0qDsdD09ePSALDuyryqQ6A8HGDfHSw49VBwrWNXZHHrEG6hZY7L5wt6WR1/3KurdMd/B9Z5oweMg/lVc15q8gZpLAVlNmHSbG+b0jtaGXZ6K4OJ4m9Zk15hA3Upm80smU3NnJNWdCSmuql2aJVN70uIqo6XhOa+i/gjgTjZp0DKll1zHHEet3IEN4spHOpx1a0fHQ/YfZkImBSkHfUoecrM+dHL/EDuWtbmgbcfwfZXPr/7QaJnzQGllT2XCyXNk0xo0Whqe9/iDtw0mElvdDpebJa6NhbUfewLqN+Ph0BO+QPBWI6yJuypbvH51nURWFxG9PMjydDeZnQnGI0z0fFwPPehTatdaoKck4Kiha3vFHE8geEs8rD1gP/trlzHRJUTYFR/V2hYHauZ35na8WXioaLZDzq42eeCPsuSYB4u+Es+bc0/R4beXSZJVHtcbHpyUO2WstDXe97Mrbsj+qPun8c4XenOVb8/cp//ePnl/EvI/YzUlVFKAlA4AAAAASUVORK5CYII=">
          <a:extLst>
            <a:ext uri="{FF2B5EF4-FFF2-40B4-BE49-F238E27FC236}">
              <a16:creationId xmlns:a16="http://schemas.microsoft.com/office/drawing/2014/main" id="{033DE2EB-A423-4268-9590-804CB25BC71C}"/>
            </a:ext>
          </a:extLst>
        </xdr:cNvPr>
        <xdr:cNvSpPr/>
      </xdr:nvSpPr>
      <xdr:spPr>
        <a:xfrm>
          <a:off x="0" y="161925"/>
          <a:ext cx="30480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0</xdr:col>
      <xdr:colOff>575094</xdr:colOff>
      <xdr:row>0</xdr:row>
      <xdr:rowOff>17972</xdr:rowOff>
    </xdr:from>
    <xdr:to>
      <xdr:col>1</xdr:col>
      <xdr:colOff>1698325</xdr:colOff>
      <xdr:row>3</xdr:row>
      <xdr:rowOff>94172</xdr:rowOff>
    </xdr:to>
    <xdr:pic>
      <xdr:nvPicPr>
        <xdr:cNvPr id="3" name="Ảnh 2">
          <a:extLst>
            <a:ext uri="{FF2B5EF4-FFF2-40B4-BE49-F238E27FC236}">
              <a16:creationId xmlns:a16="http://schemas.microsoft.com/office/drawing/2014/main" id="{C68F593D-7CF5-4A57-BA41-0597FC7D7A9B}"/>
            </a:ext>
            <a:ext uri="{147F2762-F138-4A5C-976F-8EAC2B608ADB}">
              <a16:predDERef xmlns:a16="http://schemas.microsoft.com/office/drawing/2014/main" pred="{033DE2EB-A423-4268-9590-804CB25BC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094" y="17972"/>
          <a:ext cx="1942381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5D50-234C-4F04-8CF4-191689001FF9}">
  <dimension ref="A2:S48"/>
  <sheetViews>
    <sheetView showGridLines="0" workbookViewId="0">
      <selection activeCell="C15" sqref="C15"/>
    </sheetView>
  </sheetViews>
  <sheetFormatPr defaultRowHeight="15" x14ac:dyDescent="0.25"/>
  <cols>
    <col min="1" max="1" width="4.42578125" customWidth="1"/>
    <col min="2" max="2" width="28.7109375" customWidth="1"/>
    <col min="3" max="3" width="15.5703125" customWidth="1"/>
    <col min="5" max="5" width="38.140625" customWidth="1"/>
    <col min="6" max="6" width="9.140625" customWidth="1"/>
    <col min="7" max="7" width="14.28515625" customWidth="1"/>
    <col min="8" max="8" width="22" customWidth="1"/>
    <col min="9" max="10" width="16.140625" customWidth="1"/>
    <col min="11" max="15" width="12.28515625" customWidth="1"/>
    <col min="16" max="20" width="9.140625" customWidth="1"/>
  </cols>
  <sheetData>
    <row r="2" spans="1:18" ht="27.75" customHeight="1" x14ac:dyDescent="0.25">
      <c r="A2" s="266" t="s">
        <v>0</v>
      </c>
      <c r="B2" s="267"/>
      <c r="C2" s="267"/>
      <c r="D2" s="267"/>
      <c r="E2" s="268"/>
      <c r="H2" s="8"/>
      <c r="I2" t="s">
        <v>1</v>
      </c>
    </row>
    <row r="3" spans="1:18" ht="27.75" customHeight="1" x14ac:dyDescent="0.25">
      <c r="A3" s="48"/>
      <c r="B3" s="39" t="s">
        <v>2</v>
      </c>
      <c r="C3" s="40" t="s">
        <v>3</v>
      </c>
      <c r="D3" s="39"/>
      <c r="E3" s="49"/>
      <c r="H3" s="9"/>
      <c r="I3" t="s">
        <v>4</v>
      </c>
    </row>
    <row r="4" spans="1:18" x14ac:dyDescent="0.25">
      <c r="A4" s="50">
        <v>1</v>
      </c>
      <c r="B4" s="41" t="s">
        <v>5</v>
      </c>
      <c r="C4" s="41" t="s">
        <v>6</v>
      </c>
      <c r="D4" s="41" t="s">
        <v>7</v>
      </c>
      <c r="E4" s="51" t="s">
        <v>8</v>
      </c>
      <c r="F4" s="1" t="s">
        <v>9</v>
      </c>
      <c r="G4" s="1" t="s">
        <v>10</v>
      </c>
      <c r="H4" s="1" t="s">
        <v>11</v>
      </c>
      <c r="I4" s="1">
        <v>500000</v>
      </c>
    </row>
    <row r="5" spans="1:18" x14ac:dyDescent="0.25">
      <c r="A5" s="52">
        <v>2</v>
      </c>
      <c r="B5" s="7" t="s">
        <v>12</v>
      </c>
      <c r="C5" s="8">
        <v>1</v>
      </c>
      <c r="D5" s="7" t="s">
        <v>13</v>
      </c>
      <c r="E5" s="53"/>
      <c r="G5" s="1"/>
      <c r="H5" s="1" t="s">
        <v>14</v>
      </c>
      <c r="I5" s="1">
        <v>400000</v>
      </c>
    </row>
    <row r="6" spans="1:18" ht="15.75" x14ac:dyDescent="0.25">
      <c r="A6" s="52">
        <v>3</v>
      </c>
      <c r="B6" s="7" t="s">
        <v>15</v>
      </c>
      <c r="C6" s="8">
        <v>300</v>
      </c>
      <c r="D6" s="7" t="s">
        <v>16</v>
      </c>
      <c r="E6" s="54"/>
      <c r="G6" s="1" t="s">
        <v>17</v>
      </c>
      <c r="H6" s="272" t="s">
        <v>18</v>
      </c>
      <c r="I6" s="272"/>
      <c r="J6" s="272"/>
      <c r="K6" s="272"/>
      <c r="L6" s="272"/>
      <c r="M6" s="272"/>
      <c r="N6" s="272"/>
      <c r="O6" s="272"/>
      <c r="P6" s="17" t="s">
        <v>19</v>
      </c>
      <c r="Q6" s="17" t="s">
        <v>19</v>
      </c>
      <c r="R6" s="17" t="s">
        <v>19</v>
      </c>
    </row>
    <row r="7" spans="1:18" ht="19.5" customHeight="1" x14ac:dyDescent="0.25">
      <c r="A7" s="52">
        <v>4</v>
      </c>
      <c r="B7" s="7" t="s">
        <v>20</v>
      </c>
      <c r="C7" s="8">
        <v>2</v>
      </c>
      <c r="D7" s="7" t="s">
        <v>21</v>
      </c>
      <c r="E7" s="54"/>
      <c r="H7" s="18" t="s">
        <v>22</v>
      </c>
      <c r="I7" s="269" t="s">
        <v>23</v>
      </c>
      <c r="J7" s="269"/>
      <c r="K7" s="20" t="s">
        <v>24</v>
      </c>
      <c r="L7" s="19" t="s">
        <v>25</v>
      </c>
      <c r="M7" s="19" t="s">
        <v>26</v>
      </c>
      <c r="N7" s="19" t="s">
        <v>27</v>
      </c>
      <c r="O7" s="34" t="s">
        <v>28</v>
      </c>
    </row>
    <row r="8" spans="1:18" ht="32.25" customHeight="1" x14ac:dyDescent="0.25">
      <c r="A8" s="52">
        <v>5</v>
      </c>
      <c r="B8" s="14" t="s">
        <v>29</v>
      </c>
      <c r="C8" s="16">
        <v>60000000</v>
      </c>
      <c r="D8" s="7" t="s">
        <v>30</v>
      </c>
      <c r="E8" s="54"/>
      <c r="H8" s="21" t="s">
        <v>31</v>
      </c>
      <c r="I8" s="250" t="s">
        <v>32</v>
      </c>
      <c r="J8" s="252"/>
      <c r="K8" s="31">
        <v>1850000</v>
      </c>
      <c r="L8" s="31">
        <v>1665000</v>
      </c>
      <c r="M8" s="31">
        <v>1480000</v>
      </c>
      <c r="N8" s="31">
        <v>1295000</v>
      </c>
      <c r="O8" s="46">
        <f>MAX(IF($C$3="basic",K14*$C$6,IF($C$3="pro",L14*$C$6,IF($C$3="Premium",M14*$C$6,N14*$C$6))),IF($C$3="basic",K8*$C$7,IF($C$3="pro",L8*$C$7,IF($C$3="Premium",M8*$C$7,N8*$C$7))))</f>
        <v>3330000</v>
      </c>
    </row>
    <row r="9" spans="1:18" ht="19.5" customHeight="1" x14ac:dyDescent="0.25">
      <c r="A9" s="52">
        <v>6</v>
      </c>
      <c r="B9" s="7" t="s">
        <v>33</v>
      </c>
      <c r="C9" s="8">
        <v>8</v>
      </c>
      <c r="D9" s="7" t="s">
        <v>34</v>
      </c>
      <c r="E9" s="54"/>
      <c r="H9" s="21" t="s">
        <v>35</v>
      </c>
      <c r="I9" s="270"/>
      <c r="J9" s="271"/>
      <c r="K9" s="32">
        <v>2600000</v>
      </c>
      <c r="L9" s="32">
        <v>2340000</v>
      </c>
      <c r="M9" s="32">
        <v>2080000</v>
      </c>
      <c r="N9" s="32">
        <v>1820000</v>
      </c>
      <c r="O9" s="46">
        <f t="shared" ref="O9:O11" si="0">MAX(IF($C$3="basic",K15*$C$6,IF($C$3="pro",L15*$C$6,IF($C$3="Premium",M15*$C$6,N15*$C$6))),IF($C$3="basic",K9*$C$7,IF($C$3="pro",L9*$C$7,IF($C$3="Premium",M9*$C$7,N9*$C$7))))</f>
        <v>4680000</v>
      </c>
    </row>
    <row r="10" spans="1:18" ht="19.5" customHeight="1" x14ac:dyDescent="0.25">
      <c r="A10" s="52">
        <v>7</v>
      </c>
      <c r="B10" s="7" t="s">
        <v>36</v>
      </c>
      <c r="C10" s="8">
        <v>5</v>
      </c>
      <c r="D10" s="7" t="s">
        <v>34</v>
      </c>
      <c r="E10" s="54"/>
      <c r="H10" s="21" t="s">
        <v>37</v>
      </c>
      <c r="I10" s="250" t="s">
        <v>38</v>
      </c>
      <c r="J10" s="252"/>
      <c r="K10" s="31">
        <v>1450000</v>
      </c>
      <c r="L10" s="31">
        <v>1305000</v>
      </c>
      <c r="M10" s="31">
        <v>1160000</v>
      </c>
      <c r="N10" s="31">
        <v>1015000</v>
      </c>
      <c r="O10" s="46">
        <f t="shared" si="0"/>
        <v>2610000</v>
      </c>
    </row>
    <row r="11" spans="1:18" ht="19.5" customHeight="1" x14ac:dyDescent="0.25">
      <c r="A11" s="52">
        <v>8</v>
      </c>
      <c r="B11" s="7" t="s">
        <v>39</v>
      </c>
      <c r="C11" s="8">
        <v>0</v>
      </c>
      <c r="D11" s="7" t="s">
        <v>34</v>
      </c>
      <c r="E11" s="54"/>
      <c r="H11" s="22" t="s">
        <v>40</v>
      </c>
      <c r="I11" s="259"/>
      <c r="J11" s="260"/>
      <c r="K11" s="33">
        <v>2150000</v>
      </c>
      <c r="L11" s="33">
        <v>1935000</v>
      </c>
      <c r="M11" s="33">
        <v>1720000</v>
      </c>
      <c r="N11" s="33">
        <v>1505000</v>
      </c>
      <c r="O11" s="46">
        <f t="shared" si="0"/>
        <v>3870000</v>
      </c>
    </row>
    <row r="12" spans="1:18" ht="19.5" customHeight="1" x14ac:dyDescent="0.25">
      <c r="A12" s="52">
        <v>9</v>
      </c>
      <c r="B12" s="7" t="s">
        <v>41</v>
      </c>
      <c r="C12" s="9" t="s">
        <v>14</v>
      </c>
      <c r="D12" s="7"/>
      <c r="E12" s="53"/>
      <c r="H12" s="38" t="s">
        <v>42</v>
      </c>
      <c r="I12" s="23"/>
      <c r="J12" s="23"/>
      <c r="K12" s="23"/>
      <c r="L12" s="24" t="s">
        <v>19</v>
      </c>
      <c r="M12" s="24" t="s">
        <v>19</v>
      </c>
      <c r="N12" s="24" t="s">
        <v>19</v>
      </c>
      <c r="O12" s="35"/>
    </row>
    <row r="13" spans="1:18" ht="29.25" customHeight="1" x14ac:dyDescent="0.25">
      <c r="A13" s="52">
        <v>10</v>
      </c>
      <c r="B13" s="7" t="s">
        <v>43</v>
      </c>
      <c r="C13" s="9" t="s">
        <v>44</v>
      </c>
      <c r="D13" s="7"/>
      <c r="E13" s="55"/>
      <c r="H13" s="18" t="s">
        <v>45</v>
      </c>
      <c r="I13" s="269" t="s">
        <v>23</v>
      </c>
      <c r="J13" s="269"/>
      <c r="K13" s="20" t="s">
        <v>24</v>
      </c>
      <c r="L13" s="19" t="s">
        <v>25</v>
      </c>
      <c r="M13" s="19" t="s">
        <v>26</v>
      </c>
      <c r="N13" s="19" t="s">
        <v>27</v>
      </c>
    </row>
    <row r="14" spans="1:18" ht="19.5" customHeight="1" x14ac:dyDescent="0.25">
      <c r="A14" s="52">
        <v>11</v>
      </c>
      <c r="B14" s="7" t="s">
        <v>46</v>
      </c>
      <c r="C14" s="9" t="s">
        <v>47</v>
      </c>
      <c r="D14" s="7"/>
      <c r="E14" s="54"/>
      <c r="H14" s="21" t="s">
        <v>48</v>
      </c>
      <c r="I14" s="250" t="s">
        <v>32</v>
      </c>
      <c r="J14" s="252"/>
      <c r="K14" s="31">
        <v>9000</v>
      </c>
      <c r="L14" s="31">
        <v>8100</v>
      </c>
      <c r="M14" s="31">
        <v>7200</v>
      </c>
      <c r="N14" s="31">
        <v>6300</v>
      </c>
    </row>
    <row r="15" spans="1:18" ht="19.5" customHeight="1" x14ac:dyDescent="0.25">
      <c r="A15" s="52">
        <v>12</v>
      </c>
      <c r="B15" s="7" t="s">
        <v>49</v>
      </c>
      <c r="C15" s="36">
        <f>IF(C13="Quảng Châu",IF(C14="Hà Nội",O8,O9),IF(C13="Bằng Tường",IF(C14="Hà Nội",O10,O11)))</f>
        <v>3330000</v>
      </c>
      <c r="D15" s="7" t="s">
        <v>50</v>
      </c>
      <c r="E15" s="54"/>
      <c r="H15" s="21" t="s">
        <v>51</v>
      </c>
      <c r="I15" s="270"/>
      <c r="J15" s="271"/>
      <c r="K15" s="32">
        <v>12500</v>
      </c>
      <c r="L15" s="32">
        <v>11250</v>
      </c>
      <c r="M15" s="32">
        <v>10000</v>
      </c>
      <c r="N15" s="32">
        <v>8750</v>
      </c>
    </row>
    <row r="16" spans="1:18" ht="36" customHeight="1" x14ac:dyDescent="0.25">
      <c r="A16" s="52">
        <v>13</v>
      </c>
      <c r="B16" s="14" t="s">
        <v>52</v>
      </c>
      <c r="C16" s="36">
        <f>IF(C13="Quảng Châu",IF(C14="Hà Nội",R23,R24),IF(C13="Bằng Tường",IF(C14="Hà Nội",R25,R26)))</f>
        <v>3200000</v>
      </c>
      <c r="D16" s="7" t="s">
        <v>30</v>
      </c>
      <c r="E16" s="54"/>
      <c r="H16" s="21" t="s">
        <v>53</v>
      </c>
      <c r="I16" s="250" t="s">
        <v>38</v>
      </c>
      <c r="J16" s="252"/>
      <c r="K16" s="31">
        <v>9000</v>
      </c>
      <c r="L16" s="31">
        <v>8100</v>
      </c>
      <c r="M16" s="31">
        <v>7200</v>
      </c>
      <c r="N16" s="31">
        <v>6300</v>
      </c>
    </row>
    <row r="17" spans="1:18" ht="19.5" customHeight="1" x14ac:dyDescent="0.25">
      <c r="A17" s="56"/>
      <c r="B17" s="57" t="s">
        <v>54</v>
      </c>
      <c r="C17" s="58"/>
      <c r="D17" s="58"/>
      <c r="E17" s="59"/>
      <c r="H17" s="22" t="s">
        <v>55</v>
      </c>
      <c r="I17" s="259"/>
      <c r="J17" s="260"/>
      <c r="K17" s="33">
        <v>12500</v>
      </c>
      <c r="L17" s="33">
        <v>11250</v>
      </c>
      <c r="M17" s="33">
        <v>10000</v>
      </c>
      <c r="N17" s="33">
        <v>8750</v>
      </c>
    </row>
    <row r="18" spans="1:18" ht="19.5" customHeight="1" x14ac:dyDescent="0.25">
      <c r="A18" s="52">
        <v>1</v>
      </c>
      <c r="B18" s="7" t="s">
        <v>10</v>
      </c>
      <c r="C18" s="10">
        <f>IF(C12=H5,I5*C5,I4*C5)</f>
        <v>400000</v>
      </c>
      <c r="D18" s="7" t="s">
        <v>30</v>
      </c>
      <c r="E18" s="54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9.5" customHeight="1" x14ac:dyDescent="0.25">
      <c r="A19" s="52">
        <v>2</v>
      </c>
      <c r="B19" s="7" t="s">
        <v>17</v>
      </c>
      <c r="C19" s="10">
        <f>MIN(C15:C16)</f>
        <v>3200000</v>
      </c>
      <c r="D19" s="7" t="s">
        <v>30</v>
      </c>
      <c r="E19" s="54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9.5" customHeight="1" x14ac:dyDescent="0.25">
      <c r="A20" s="52">
        <v>3</v>
      </c>
      <c r="B20" s="7" t="s">
        <v>56</v>
      </c>
      <c r="C20" s="10">
        <f>IF((C8/MAX(C7,C6/250))&gt;100000000,(C8/MAX(C7,C6/250)-100000000)*MAX(C7,C6/250)*1%,0)</f>
        <v>0</v>
      </c>
      <c r="D20" s="7"/>
      <c r="E20" s="54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9.5" customHeight="1" x14ac:dyDescent="0.25">
      <c r="A21" s="52">
        <v>4</v>
      </c>
      <c r="B21" s="7" t="s">
        <v>57</v>
      </c>
      <c r="C21" s="11">
        <v>0</v>
      </c>
      <c r="D21" s="7" t="s">
        <v>30</v>
      </c>
      <c r="E21" s="54"/>
      <c r="H21" s="273" t="s">
        <v>58</v>
      </c>
      <c r="I21" s="273"/>
      <c r="J21" s="273"/>
      <c r="K21" s="273"/>
      <c r="L21" s="273"/>
      <c r="M21" s="273"/>
      <c r="N21" s="273"/>
      <c r="O21" s="273"/>
      <c r="P21" s="24" t="s">
        <v>19</v>
      </c>
      <c r="Q21" s="24" t="s">
        <v>19</v>
      </c>
      <c r="R21" s="24" t="s">
        <v>19</v>
      </c>
    </row>
    <row r="22" spans="1:18" ht="19.5" customHeight="1" x14ac:dyDescent="0.25">
      <c r="A22" s="52">
        <v>5</v>
      </c>
      <c r="B22" s="7" t="s">
        <v>59</v>
      </c>
      <c r="C22" s="10">
        <f>C8*C10%+(C8+C8*C10%)*C11%+(C8+C8*C10%+(C8+C8*C10%)*C11%)*C9%</f>
        <v>8040000</v>
      </c>
      <c r="D22" s="7" t="s">
        <v>30</v>
      </c>
      <c r="E22" s="54"/>
      <c r="H22" s="25" t="s">
        <v>60</v>
      </c>
      <c r="I22" s="261" t="s">
        <v>23</v>
      </c>
      <c r="J22" s="261"/>
      <c r="K22" s="262"/>
      <c r="L22" s="27" t="s">
        <v>61</v>
      </c>
      <c r="M22" s="27" t="s">
        <v>62</v>
      </c>
      <c r="N22" s="27" t="s">
        <v>63</v>
      </c>
      <c r="O22" s="27" t="s">
        <v>64</v>
      </c>
      <c r="P22" s="27" t="s">
        <v>65</v>
      </c>
      <c r="Q22" s="27" t="s">
        <v>66</v>
      </c>
      <c r="R22" s="34" t="s">
        <v>67</v>
      </c>
    </row>
    <row r="23" spans="1:18" ht="31.5" customHeight="1" x14ac:dyDescent="0.25">
      <c r="A23" s="52">
        <v>6</v>
      </c>
      <c r="B23" s="7" t="s">
        <v>68</v>
      </c>
      <c r="C23" s="15"/>
      <c r="D23" s="7"/>
      <c r="E23" s="60" t="s">
        <v>69</v>
      </c>
      <c r="H23" s="29" t="s">
        <v>31</v>
      </c>
      <c r="I23" s="250" t="s">
        <v>32</v>
      </c>
      <c r="J23" s="251"/>
      <c r="K23" s="252"/>
      <c r="L23" s="31">
        <v>1850000</v>
      </c>
      <c r="M23" s="31">
        <v>1800000</v>
      </c>
      <c r="N23" s="31">
        <v>1600000</v>
      </c>
      <c r="O23" s="31">
        <v>1500000</v>
      </c>
      <c r="P23" s="31">
        <v>1400000</v>
      </c>
      <c r="Q23" s="31">
        <v>1300000</v>
      </c>
      <c r="R23" s="37">
        <f>MAX(IF($C$7&lt;1,L23*$C$7,IF($C$7&lt;2,M23*$C$7,IF($C$7&lt;5,N23*$C$7,IF($C$7&lt;10,O23*$C$7,IF($C$7&lt;20,P23*$C$7,Q23*$C$7))))),IF($C$6&lt;300,L29*$C$6,IF($C$6&lt;500,M29*$C$6,IF($C$6&lt;1500,N29*$C$6,IF($C$6&lt;5000,O29*$C$6,P29*$C$6)))))</f>
        <v>3200000</v>
      </c>
    </row>
    <row r="24" spans="1:18" ht="19.5" customHeight="1" x14ac:dyDescent="0.25">
      <c r="A24" s="52">
        <v>7</v>
      </c>
      <c r="B24" s="7" t="s">
        <v>70</v>
      </c>
      <c r="C24" s="15"/>
      <c r="D24" s="7"/>
      <c r="E24" s="54"/>
      <c r="H24" s="29" t="s">
        <v>35</v>
      </c>
      <c r="I24" s="253"/>
      <c r="J24" s="254"/>
      <c r="K24" s="255"/>
      <c r="L24" s="32">
        <v>2600000</v>
      </c>
      <c r="M24" s="32">
        <v>2300000</v>
      </c>
      <c r="N24" s="32">
        <v>2100000</v>
      </c>
      <c r="O24" s="32">
        <v>2000000</v>
      </c>
      <c r="P24" s="32">
        <v>1900000</v>
      </c>
      <c r="Q24" s="32">
        <v>1800000</v>
      </c>
      <c r="R24" s="37">
        <f>MAX(IF($C$7&lt;1,L24*$C$7,IF($C$7&lt;2,M24*$C$7,IF($C$7&lt;5,N24*$C$7,IF($C$7&lt;10,O24*$C$7,IF($C$7&lt;20,P24*$C$7,Q24*$C$7))))),IF($C$6&lt;300,L30*$C$6,IF($C$6&lt;500,M30*$C$6,IF($C$6&lt;1500,N30*$C$6,IF($C$6&lt;5000,O30*$C$6,P30*$C$6)))))</f>
        <v>4200000</v>
      </c>
    </row>
    <row r="25" spans="1:18" ht="19.5" customHeight="1" x14ac:dyDescent="0.25">
      <c r="A25" s="61"/>
      <c r="B25" s="12" t="s">
        <v>71</v>
      </c>
      <c r="C25" s="13">
        <f>SUM(C18:C23)-C24</f>
        <v>11640000</v>
      </c>
      <c r="D25" s="12" t="s">
        <v>30</v>
      </c>
      <c r="E25" s="62"/>
      <c r="H25" s="29" t="s">
        <v>37</v>
      </c>
      <c r="I25" s="250" t="s">
        <v>38</v>
      </c>
      <c r="J25" s="251"/>
      <c r="K25" s="252"/>
      <c r="L25" s="31">
        <v>1450000</v>
      </c>
      <c r="M25" s="31">
        <v>1400000</v>
      </c>
      <c r="N25" s="31">
        <v>1300000</v>
      </c>
      <c r="O25" s="31">
        <v>1200000</v>
      </c>
      <c r="P25" s="31">
        <v>1100000</v>
      </c>
      <c r="Q25" s="31">
        <v>1000000</v>
      </c>
      <c r="R25" s="37">
        <f>MAX(IF($C$7&lt;1,L25*$C$7,IF($C$7&lt;2,M25*$C$7,IF($C$7&lt;5,N25*$C$7,IF($C$7&lt;10,O25*$C$7,IF($C$7&lt;20,P25*$C$7,Q25*$C$7))))),IF($C$6&lt;300,L31*$C$6,IF($C$6&lt;500,M31*$C$6,IF($C$6&lt;1500,N31*$C$6,IF($C$6&lt;5000,O31*$C$6,P31*$C$6)))))</f>
        <v>2600000</v>
      </c>
    </row>
    <row r="26" spans="1:18" ht="19.5" customHeight="1" x14ac:dyDescent="0.25">
      <c r="A26" s="63"/>
      <c r="B26" s="64"/>
      <c r="E26" s="65"/>
      <c r="H26" s="30" t="s">
        <v>40</v>
      </c>
      <c r="I26" s="256"/>
      <c r="J26" s="257"/>
      <c r="K26" s="258"/>
      <c r="L26" s="33">
        <v>2150000</v>
      </c>
      <c r="M26" s="33">
        <v>1900000</v>
      </c>
      <c r="N26" s="33">
        <v>1800000</v>
      </c>
      <c r="O26" s="33">
        <v>1700000</v>
      </c>
      <c r="P26" s="33">
        <v>1600000</v>
      </c>
      <c r="Q26" s="33">
        <v>1500000</v>
      </c>
      <c r="R26" s="37">
        <f>MAX(IF($C$7&lt;1,L26*$C$7,IF($C$7&lt;2,M26*$C$7,IF($C$7&lt;5,N26*$C$7,IF($C$7&lt;10,O26*$C$7,IF($C$7&lt;20,P26*$C$7,Q26*$C$7))))),IF($C$6&lt;300,L32*$C$6,IF($C$6&lt;500,M32*$C$6,IF($C$6&lt;1500,N32*$C$6,IF($C$6&lt;5000,O32*$C$6,P32*$C$6)))))</f>
        <v>3600000</v>
      </c>
    </row>
    <row r="27" spans="1:18" ht="19.5" customHeight="1" x14ac:dyDescent="0.25">
      <c r="A27" s="263" t="s">
        <v>72</v>
      </c>
      <c r="B27" s="264"/>
      <c r="C27" s="264"/>
      <c r="D27" s="264"/>
      <c r="E27" s="265"/>
      <c r="H27" s="23" t="s">
        <v>73</v>
      </c>
      <c r="I27" s="23"/>
      <c r="J27" s="23"/>
      <c r="K27" s="23"/>
      <c r="L27" s="24" t="s">
        <v>19</v>
      </c>
      <c r="M27" s="24" t="s">
        <v>19</v>
      </c>
      <c r="N27" s="24" t="s">
        <v>19</v>
      </c>
      <c r="O27" s="24" t="s">
        <v>19</v>
      </c>
      <c r="P27" s="24" t="s">
        <v>19</v>
      </c>
      <c r="Q27" s="24" t="s">
        <v>19</v>
      </c>
      <c r="R27" s="24" t="s">
        <v>19</v>
      </c>
    </row>
    <row r="28" spans="1:18" ht="42" customHeight="1" x14ac:dyDescent="0.25">
      <c r="A28" s="52">
        <v>1</v>
      </c>
      <c r="B28" s="7" t="s">
        <v>74</v>
      </c>
      <c r="C28" s="42">
        <v>60000000</v>
      </c>
      <c r="D28" s="7"/>
      <c r="E28" s="60" t="str">
        <f>"KH chuyển khoản cho Eureka thanh toán hộ cho nhà cung cấp số tiền "&amp;C28</f>
        <v>KH chuyển khoản cho Eureka thanh toán hộ cho nhà cung cấp số tiền 60000000</v>
      </c>
      <c r="H28" s="25" t="s">
        <v>75</v>
      </c>
      <c r="I28" s="261" t="s">
        <v>23</v>
      </c>
      <c r="J28" s="261"/>
      <c r="K28" s="262"/>
      <c r="L28" s="26" t="s">
        <v>76</v>
      </c>
      <c r="M28" s="27" t="s">
        <v>77</v>
      </c>
      <c r="N28" s="27" t="s">
        <v>78</v>
      </c>
      <c r="O28" s="27" t="s">
        <v>79</v>
      </c>
      <c r="P28" s="27" t="s">
        <v>80</v>
      </c>
      <c r="Q28" s="28"/>
    </row>
    <row r="29" spans="1:18" ht="42.75" customHeight="1" x14ac:dyDescent="0.25">
      <c r="A29" s="52">
        <v>2</v>
      </c>
      <c r="B29" s="14" t="s">
        <v>81</v>
      </c>
      <c r="C29" s="43">
        <f>(C8+C22)*1.02-C28</f>
        <v>9400800</v>
      </c>
      <c r="D29" s="7"/>
      <c r="E29" s="60" t="str">
        <f>IF(C29&gt;0,"KH chuyển khoản vào tài khoản công ty số tiền "&amp;C29,"Khách hàng đang còn thừa công nợ trên sổ sách số tiền "&amp;-C29)</f>
        <v>KH chuyển khoản vào tài khoản công ty số tiền 9400800</v>
      </c>
      <c r="H29" s="29" t="s">
        <v>48</v>
      </c>
      <c r="I29" s="250" t="s">
        <v>32</v>
      </c>
      <c r="J29" s="251"/>
      <c r="K29" s="252"/>
      <c r="L29" s="31">
        <v>9000</v>
      </c>
      <c r="M29" s="31">
        <v>8000</v>
      </c>
      <c r="N29" s="31">
        <v>7000</v>
      </c>
      <c r="O29" s="31">
        <v>6000</v>
      </c>
      <c r="P29" s="31">
        <v>5000</v>
      </c>
      <c r="Q29" s="31"/>
    </row>
    <row r="30" spans="1:18" ht="54.75" customHeight="1" x14ac:dyDescent="0.25">
      <c r="A30" s="66">
        <v>3</v>
      </c>
      <c r="B30" s="67" t="s">
        <v>82</v>
      </c>
      <c r="C30" s="68">
        <f>IF(C29&gt;0,C25-C29,"Khách hàng đang còn thừa công nợ trên sổ sách số tiền "&amp;-C29)</f>
        <v>2239200</v>
      </c>
      <c r="D30" s="67"/>
      <c r="E30" s="69" t="str">
        <f>IF(C30&lt;0,"Hoàn trả khách hàng số tiền "&amp;-C30&amp;" Qua tài khoản khách hàng cung cấp",IF(C29&lt;0,C30," Khách hàng chuyển trả thêm Eureka số tiền "&amp;C30&amp; " Qua tài khoản kế toán Eureka cung cấp"))</f>
        <v xml:space="preserve"> Khách hàng chuyển trả thêm Eureka số tiền 2239200 Qua tài khoản kế toán Eureka cung cấp</v>
      </c>
      <c r="H30" s="29" t="s">
        <v>51</v>
      </c>
      <c r="I30" s="253"/>
      <c r="J30" s="254"/>
      <c r="K30" s="255"/>
      <c r="L30" s="32">
        <v>12500</v>
      </c>
      <c r="M30" s="32">
        <v>11500</v>
      </c>
      <c r="N30" s="32">
        <v>10500</v>
      </c>
      <c r="O30" s="32">
        <v>9500</v>
      </c>
      <c r="P30" s="32">
        <v>8500</v>
      </c>
      <c r="Q30" s="32"/>
    </row>
    <row r="31" spans="1:18" ht="19.5" customHeight="1" x14ac:dyDescent="0.25">
      <c r="H31" s="29" t="s">
        <v>53</v>
      </c>
      <c r="I31" s="250" t="s">
        <v>38</v>
      </c>
      <c r="J31" s="251"/>
      <c r="K31" s="252"/>
      <c r="L31" s="31">
        <v>9000</v>
      </c>
      <c r="M31" s="31">
        <v>8000</v>
      </c>
      <c r="N31" s="31">
        <v>7000</v>
      </c>
      <c r="O31" s="31">
        <v>6000</v>
      </c>
      <c r="P31" s="31">
        <v>5000</v>
      </c>
      <c r="Q31" s="31"/>
    </row>
    <row r="32" spans="1:18" ht="19.5" customHeight="1" x14ac:dyDescent="0.25">
      <c r="H32" s="30" t="s">
        <v>55</v>
      </c>
      <c r="I32" s="256"/>
      <c r="J32" s="257"/>
      <c r="K32" s="258"/>
      <c r="L32" s="33">
        <v>12500</v>
      </c>
      <c r="M32" s="33">
        <v>11500</v>
      </c>
      <c r="N32" s="33">
        <v>10500</v>
      </c>
      <c r="O32" s="33">
        <v>9500</v>
      </c>
      <c r="P32" s="33">
        <v>8500</v>
      </c>
      <c r="Q32" s="33"/>
    </row>
    <row r="33" spans="8:19" x14ac:dyDescent="0.25">
      <c r="P33" s="3"/>
      <c r="Q33" s="3"/>
      <c r="R33" s="3"/>
    </row>
    <row r="35" spans="8:19" x14ac:dyDescent="0.25">
      <c r="H35" s="47"/>
      <c r="I35" s="47"/>
    </row>
    <row r="36" spans="8:19" x14ac:dyDescent="0.25">
      <c r="H36" s="47"/>
    </row>
    <row r="37" spans="8:19" x14ac:dyDescent="0.25">
      <c r="P37" s="4"/>
      <c r="Q37" s="4"/>
      <c r="R37" s="4"/>
    </row>
    <row r="38" spans="8:19" x14ac:dyDescent="0.25">
      <c r="H38" s="47"/>
      <c r="I38" s="47"/>
      <c r="J38" s="47"/>
    </row>
    <row r="39" spans="8:19" x14ac:dyDescent="0.25">
      <c r="H39" s="47"/>
      <c r="J39" s="44"/>
    </row>
    <row r="41" spans="8:19" x14ac:dyDescent="0.25">
      <c r="P41" s="5"/>
      <c r="Q41" s="5"/>
      <c r="R41" s="6"/>
    </row>
    <row r="42" spans="8:19" x14ac:dyDescent="0.25">
      <c r="S42" s="2"/>
    </row>
    <row r="43" spans="8:19" x14ac:dyDescent="0.25">
      <c r="H43" s="1"/>
      <c r="I43" s="1"/>
      <c r="J43" s="1"/>
    </row>
    <row r="44" spans="8:19" x14ac:dyDescent="0.25">
      <c r="H44" s="1"/>
      <c r="I44" s="1"/>
      <c r="J44" s="1"/>
    </row>
    <row r="45" spans="8:19" x14ac:dyDescent="0.25">
      <c r="H45" s="1"/>
      <c r="I45" s="1"/>
      <c r="J45" s="1"/>
    </row>
    <row r="46" spans="8:19" x14ac:dyDescent="0.25">
      <c r="H46" s="1"/>
      <c r="I46" s="1"/>
      <c r="J46" s="45"/>
    </row>
    <row r="47" spans="8:19" x14ac:dyDescent="0.25">
      <c r="H47" s="1"/>
      <c r="I47" s="1"/>
      <c r="J47" s="1"/>
    </row>
    <row r="48" spans="8:19" x14ac:dyDescent="0.25">
      <c r="H48" s="1"/>
      <c r="I48" s="1"/>
      <c r="J48" s="1"/>
    </row>
  </sheetData>
  <mergeCells count="16">
    <mergeCell ref="A27:E27"/>
    <mergeCell ref="I28:K28"/>
    <mergeCell ref="A2:E2"/>
    <mergeCell ref="I7:J7"/>
    <mergeCell ref="I8:J9"/>
    <mergeCell ref="I10:J11"/>
    <mergeCell ref="I13:J13"/>
    <mergeCell ref="I14:J15"/>
    <mergeCell ref="H6:O6"/>
    <mergeCell ref="H21:O21"/>
    <mergeCell ref="I29:K30"/>
    <mergeCell ref="I31:K32"/>
    <mergeCell ref="I16:J17"/>
    <mergeCell ref="I22:K22"/>
    <mergeCell ref="I23:K24"/>
    <mergeCell ref="I25:K26"/>
  </mergeCells>
  <dataValidations count="4">
    <dataValidation type="list" allowBlank="1" showInputMessage="1" showErrorMessage="1" sqref="C14" xr:uid="{93FE7D73-D52D-4F24-8A50-3E6AD6041039}">
      <formula1>"Hà Nội,Hồ Chí Minh"</formula1>
    </dataValidation>
    <dataValidation type="list" allowBlank="1" showInputMessage="1" showErrorMessage="1" sqref="C13" xr:uid="{4981DEF3-8FD2-48D1-AF81-1B49F01B7BE9}">
      <formula1>"Quảng Châu,Bằng Tường"</formula1>
    </dataValidation>
    <dataValidation type="list" allowBlank="1" showInputMessage="1" showErrorMessage="1" sqref="C12 H3" xr:uid="{27FC66A6-EB23-45AD-A7A8-176DDA51C5BF}">
      <formula1>"Bộ,Biển"</formula1>
    </dataValidation>
    <dataValidation type="list" allowBlank="1" showInputMessage="1" showErrorMessage="1" sqref="C3" xr:uid="{21D15D73-8934-4F5C-B918-77E1C98FE322}">
      <formula1>"Elite,Premium,Pro,Basic"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51F4-9B66-4B76-9DE7-28DD9933F86F}">
  <dimension ref="A2:T50"/>
  <sheetViews>
    <sheetView showGridLines="0" topLeftCell="A10" workbookViewId="0">
      <selection activeCell="C24" sqref="C24"/>
    </sheetView>
  </sheetViews>
  <sheetFormatPr defaultRowHeight="15" x14ac:dyDescent="0.25"/>
  <cols>
    <col min="1" max="1" width="4.42578125" customWidth="1"/>
    <col min="2" max="2" width="33.5703125" customWidth="1"/>
    <col min="3" max="4" width="15.5703125" customWidth="1"/>
    <col min="5" max="5" width="12" customWidth="1"/>
    <col min="6" max="6" width="38.140625" customWidth="1"/>
    <col min="7" max="7" width="9.140625" customWidth="1"/>
    <col min="8" max="8" width="14.28515625" customWidth="1"/>
    <col min="9" max="9" width="22" customWidth="1"/>
    <col min="10" max="11" width="16.140625" customWidth="1"/>
    <col min="12" max="16" width="12.28515625" customWidth="1"/>
    <col min="17" max="21" width="9.140625" customWidth="1"/>
  </cols>
  <sheetData>
    <row r="2" spans="1:19" ht="27.75" customHeight="1" x14ac:dyDescent="0.25">
      <c r="A2" s="266" t="s">
        <v>0</v>
      </c>
      <c r="B2" s="267"/>
      <c r="C2" s="267"/>
      <c r="D2" s="267"/>
      <c r="E2" s="267"/>
      <c r="F2" s="268"/>
      <c r="I2" s="8"/>
      <c r="J2" t="s">
        <v>1</v>
      </c>
    </row>
    <row r="3" spans="1:19" ht="54.75" customHeight="1" x14ac:dyDescent="0.25">
      <c r="A3" s="72"/>
      <c r="C3" s="75" t="s">
        <v>83</v>
      </c>
      <c r="D3" s="75" t="s">
        <v>84</v>
      </c>
      <c r="E3" s="73"/>
      <c r="F3" s="74"/>
      <c r="I3" s="8"/>
    </row>
    <row r="4" spans="1:19" ht="27.75" customHeight="1" x14ac:dyDescent="0.25">
      <c r="A4" s="48"/>
      <c r="B4" s="39" t="s">
        <v>2</v>
      </c>
      <c r="C4" s="40" t="s">
        <v>3</v>
      </c>
      <c r="D4" s="40"/>
      <c r="E4" s="39"/>
      <c r="F4" s="49"/>
      <c r="I4" s="9"/>
      <c r="J4" t="s">
        <v>4</v>
      </c>
    </row>
    <row r="5" spans="1:19" x14ac:dyDescent="0.25">
      <c r="A5" s="50">
        <v>1</v>
      </c>
      <c r="B5" s="41" t="s">
        <v>5</v>
      </c>
      <c r="C5" s="41" t="s">
        <v>6</v>
      </c>
      <c r="D5" s="41"/>
      <c r="E5" s="41" t="s">
        <v>7</v>
      </c>
      <c r="F5" s="51" t="s">
        <v>8</v>
      </c>
      <c r="G5" s="1" t="s">
        <v>9</v>
      </c>
      <c r="H5" s="1" t="s">
        <v>10</v>
      </c>
      <c r="I5" s="1" t="s">
        <v>11</v>
      </c>
      <c r="J5" s="1">
        <v>500000</v>
      </c>
    </row>
    <row r="6" spans="1:19" x14ac:dyDescent="0.25">
      <c r="A6" s="52">
        <v>2</v>
      </c>
      <c r="B6" s="7" t="s">
        <v>12</v>
      </c>
      <c r="C6" s="8">
        <v>1</v>
      </c>
      <c r="D6" s="8">
        <f>C6</f>
        <v>1</v>
      </c>
      <c r="E6" s="7" t="s">
        <v>13</v>
      </c>
      <c r="F6" s="53"/>
      <c r="H6" s="1"/>
      <c r="I6" s="1" t="s">
        <v>14</v>
      </c>
      <c r="J6" s="1">
        <v>400000</v>
      </c>
    </row>
    <row r="7" spans="1:19" ht="15.75" x14ac:dyDescent="0.25">
      <c r="A7" s="52">
        <v>3</v>
      </c>
      <c r="B7" s="7" t="s">
        <v>15</v>
      </c>
      <c r="C7" s="8">
        <v>188</v>
      </c>
      <c r="D7" s="8">
        <f t="shared" ref="D7:D12" si="0">C7</f>
        <v>188</v>
      </c>
      <c r="E7" s="7" t="s">
        <v>16</v>
      </c>
      <c r="F7" s="54"/>
      <c r="H7" s="1" t="s">
        <v>17</v>
      </c>
      <c r="I7" s="272" t="s">
        <v>18</v>
      </c>
      <c r="J7" s="272"/>
      <c r="K7" s="272"/>
      <c r="L7" s="272"/>
      <c r="M7" s="272"/>
      <c r="N7" s="272"/>
      <c r="O7" s="272"/>
      <c r="P7" s="272"/>
      <c r="Q7" s="17" t="s">
        <v>19</v>
      </c>
      <c r="R7" s="17" t="s">
        <v>19</v>
      </c>
      <c r="S7" s="17" t="s">
        <v>19</v>
      </c>
    </row>
    <row r="8" spans="1:19" ht="19.5" customHeight="1" x14ac:dyDescent="0.25">
      <c r="A8" s="52">
        <v>4</v>
      </c>
      <c r="B8" s="7" t="s">
        <v>20</v>
      </c>
      <c r="C8" s="8">
        <v>0.30599999999999999</v>
      </c>
      <c r="D8" s="8">
        <f t="shared" si="0"/>
        <v>0.30599999999999999</v>
      </c>
      <c r="E8" s="7" t="s">
        <v>21</v>
      </c>
      <c r="F8" s="54"/>
      <c r="I8" s="18" t="s">
        <v>22</v>
      </c>
      <c r="J8" s="269" t="s">
        <v>23</v>
      </c>
      <c r="K8" s="269"/>
      <c r="L8" s="20" t="s">
        <v>24</v>
      </c>
      <c r="M8" s="19" t="s">
        <v>25</v>
      </c>
      <c r="N8" s="19" t="s">
        <v>26</v>
      </c>
      <c r="O8" s="19" t="s">
        <v>27</v>
      </c>
      <c r="P8" s="34" t="s">
        <v>28</v>
      </c>
    </row>
    <row r="9" spans="1:19" ht="32.25" customHeight="1" x14ac:dyDescent="0.25">
      <c r="A9" s="52">
        <v>5</v>
      </c>
      <c r="B9" s="14" t="s">
        <v>29</v>
      </c>
      <c r="C9" s="16">
        <f>4250*3935</f>
        <v>16723750</v>
      </c>
      <c r="D9" s="8">
        <f t="shared" si="0"/>
        <v>16723750</v>
      </c>
      <c r="E9" s="7" t="s">
        <v>30</v>
      </c>
      <c r="F9" s="54"/>
      <c r="I9" s="21" t="s">
        <v>31</v>
      </c>
      <c r="J9" s="250" t="s">
        <v>32</v>
      </c>
      <c r="K9" s="252"/>
      <c r="L9" s="31">
        <v>1850000</v>
      </c>
      <c r="M9" s="31">
        <v>1665000</v>
      </c>
      <c r="N9" s="31">
        <v>1480000</v>
      </c>
      <c r="O9" s="31">
        <v>1295000</v>
      </c>
      <c r="P9" s="46">
        <f>MAX(IF($C$4="basic",L15*$C$7,IF($C$4="pro",M15*$C$7,IF($C$4="Premium",N15*$C$7,O15*$C$7))),IF($C$4="basic",L9*$C$8,IF($C$4="pro",M9*$C$8,IF($C$4="Premium",N9*$C$8,O9*$C$8))))</f>
        <v>1522800</v>
      </c>
    </row>
    <row r="10" spans="1:19" ht="19.5" customHeight="1" x14ac:dyDescent="0.25">
      <c r="A10" s="52">
        <v>6</v>
      </c>
      <c r="B10" s="7" t="s">
        <v>33</v>
      </c>
      <c r="C10" s="8">
        <v>8</v>
      </c>
      <c r="D10" s="8">
        <f t="shared" si="0"/>
        <v>8</v>
      </c>
      <c r="E10" s="7" t="s">
        <v>34</v>
      </c>
      <c r="F10" s="54"/>
      <c r="I10" s="21" t="s">
        <v>35</v>
      </c>
      <c r="J10" s="270"/>
      <c r="K10" s="271"/>
      <c r="L10" s="32">
        <v>2600000</v>
      </c>
      <c r="M10" s="32">
        <v>2340000</v>
      </c>
      <c r="N10" s="32">
        <v>2080000</v>
      </c>
      <c r="O10" s="32">
        <v>1820000</v>
      </c>
      <c r="P10" s="46">
        <f>MAX(IF($C$4="basic",L16*$C$7,IF($C$4="pro",M16*$C$7,IF($C$4="Premium",N16*$C$7,O16*$C$7))),IF($C$4="basic",L10*$C$8,IF($C$4="pro",M10*$C$8,IF($C$4="Premium",N10*$C$8,O10*$C$8))))</f>
        <v>2115000</v>
      </c>
    </row>
    <row r="11" spans="1:19" ht="19.5" customHeight="1" x14ac:dyDescent="0.25">
      <c r="A11" s="52">
        <v>7</v>
      </c>
      <c r="B11" s="7" t="s">
        <v>36</v>
      </c>
      <c r="C11" s="8">
        <v>0</v>
      </c>
      <c r="D11" s="8">
        <f t="shared" si="0"/>
        <v>0</v>
      </c>
      <c r="E11" s="7" t="s">
        <v>34</v>
      </c>
      <c r="F11" s="54"/>
      <c r="I11" s="21" t="s">
        <v>37</v>
      </c>
      <c r="J11" s="250" t="s">
        <v>38</v>
      </c>
      <c r="K11" s="252"/>
      <c r="L11" s="31">
        <v>1450000</v>
      </c>
      <c r="M11" s="31">
        <v>1305000</v>
      </c>
      <c r="N11" s="31">
        <v>1160000</v>
      </c>
      <c r="O11" s="31">
        <v>1015000</v>
      </c>
      <c r="P11" s="46">
        <f>MAX(IF($C$4="basic",L17*$C$7,IF($C$4="pro",M17*$C$7,IF($C$4="Premium",N17*$C$7,O17*$C$7))),IF($C$4="basic",L11*$C$8,IF($C$4="pro",M11*$C$8,IF($C$4="Premium",N11*$C$8,O11*$C$8))))</f>
        <v>1522800</v>
      </c>
    </row>
    <row r="12" spans="1:19" ht="19.5" customHeight="1" x14ac:dyDescent="0.25">
      <c r="A12" s="52">
        <v>8</v>
      </c>
      <c r="B12" s="7" t="s">
        <v>39</v>
      </c>
      <c r="C12" s="8">
        <v>0</v>
      </c>
      <c r="D12" s="8">
        <f t="shared" si="0"/>
        <v>0</v>
      </c>
      <c r="E12" s="7" t="s">
        <v>34</v>
      </c>
      <c r="F12" s="54"/>
      <c r="I12" s="22" t="s">
        <v>40</v>
      </c>
      <c r="J12" s="259"/>
      <c r="K12" s="260"/>
      <c r="L12" s="33">
        <v>2150000</v>
      </c>
      <c r="M12" s="33">
        <v>1935000</v>
      </c>
      <c r="N12" s="33">
        <v>1720000</v>
      </c>
      <c r="O12" s="33">
        <v>1505000</v>
      </c>
      <c r="P12" s="46">
        <f>MAX(IF($C$4="basic",L18*$C$7,IF($C$4="pro",M18*$C$7,IF($C$4="Premium",N18*$C$7,O18*$C$7))),IF($C$4="basic",L12*$C$8,IF($C$4="pro",M12*$C$8,IF($C$4="Premium",N12*$C$8,O12*$C$8))))</f>
        <v>2115000</v>
      </c>
    </row>
    <row r="13" spans="1:19" ht="19.5" customHeight="1" x14ac:dyDescent="0.25">
      <c r="A13" s="52">
        <v>9</v>
      </c>
      <c r="B13" s="7" t="s">
        <v>41</v>
      </c>
      <c r="C13" s="9" t="s">
        <v>14</v>
      </c>
      <c r="D13" s="9" t="s">
        <v>14</v>
      </c>
      <c r="E13" s="7"/>
      <c r="F13" s="53"/>
      <c r="I13" s="38" t="s">
        <v>42</v>
      </c>
      <c r="J13" s="23"/>
      <c r="K13" s="23"/>
      <c r="L13" s="23"/>
      <c r="M13" s="24" t="s">
        <v>19</v>
      </c>
      <c r="N13" s="24" t="s">
        <v>19</v>
      </c>
      <c r="O13" s="24" t="s">
        <v>19</v>
      </c>
      <c r="P13" s="35"/>
    </row>
    <row r="14" spans="1:19" ht="29.25" customHeight="1" x14ac:dyDescent="0.25">
      <c r="A14" s="52">
        <v>10</v>
      </c>
      <c r="B14" s="7" t="s">
        <v>43</v>
      </c>
      <c r="C14" s="9" t="s">
        <v>44</v>
      </c>
      <c r="D14" s="9" t="s">
        <v>85</v>
      </c>
      <c r="E14" s="7"/>
      <c r="F14" s="55"/>
      <c r="I14" s="18" t="s">
        <v>45</v>
      </c>
      <c r="J14" s="269" t="s">
        <v>23</v>
      </c>
      <c r="K14" s="269"/>
      <c r="L14" s="20" t="s">
        <v>24</v>
      </c>
      <c r="M14" s="19" t="s">
        <v>25</v>
      </c>
      <c r="N14" s="19" t="s">
        <v>26</v>
      </c>
      <c r="O14" s="19" t="s">
        <v>27</v>
      </c>
    </row>
    <row r="15" spans="1:19" ht="19.5" customHeight="1" x14ac:dyDescent="0.25">
      <c r="A15" s="52">
        <v>11</v>
      </c>
      <c r="B15" s="7" t="s">
        <v>46</v>
      </c>
      <c r="C15" s="9" t="s">
        <v>86</v>
      </c>
      <c r="D15" s="9" t="s">
        <v>86</v>
      </c>
      <c r="E15" s="7"/>
      <c r="F15" s="54"/>
      <c r="I15" s="21" t="s">
        <v>48</v>
      </c>
      <c r="J15" s="250" t="s">
        <v>32</v>
      </c>
      <c r="K15" s="252"/>
      <c r="L15" s="31">
        <v>9000</v>
      </c>
      <c r="M15" s="31">
        <v>8100</v>
      </c>
      <c r="N15" s="31">
        <v>7200</v>
      </c>
      <c r="O15" s="31">
        <v>6300</v>
      </c>
    </row>
    <row r="16" spans="1:19" ht="19.5" customHeight="1" x14ac:dyDescent="0.25">
      <c r="A16" s="52">
        <v>12</v>
      </c>
      <c r="B16" s="7" t="s">
        <v>49</v>
      </c>
      <c r="C16" s="36">
        <f>IF(C14="Quảng Châu",IF(C15="Hà Nội",$P$9,$P$10),IF(C14="Bằng Tường",IF(C15="Hà Nội",$P$11,$P$12)))</f>
        <v>2115000</v>
      </c>
      <c r="D16" s="36">
        <f>IF(D14="Quảng Châu",IF(D15="Hà Nội",$P$9,$P$10),IF(D14="Bằng Tường",IF(D15="Hà Nội",$P$11,$P$12)))</f>
        <v>2115000</v>
      </c>
      <c r="E16" s="7" t="s">
        <v>50</v>
      </c>
      <c r="F16" s="54"/>
      <c r="I16" s="21" t="s">
        <v>51</v>
      </c>
      <c r="J16" s="270"/>
      <c r="K16" s="271"/>
      <c r="L16" s="32">
        <v>12500</v>
      </c>
      <c r="M16" s="32">
        <v>11250</v>
      </c>
      <c r="N16" s="32">
        <v>10000</v>
      </c>
      <c r="O16" s="32">
        <v>8750</v>
      </c>
    </row>
    <row r="17" spans="1:19" ht="36" customHeight="1" x14ac:dyDescent="0.25">
      <c r="A17" s="52">
        <v>13</v>
      </c>
      <c r="B17" s="14" t="s">
        <v>52</v>
      </c>
      <c r="C17" s="36">
        <f>IF(C14="Quảng Châu",IF(C15="Hà Nội",$S$24,$S$25),IF(C14="Bằng Tường",IF(C15="Hà Nội",$S$26,$S$27)))</f>
        <v>2350000</v>
      </c>
      <c r="D17" s="36">
        <f>IF(D14="Quảng Châu",IF(D15="Hà Nội",$S$24,$S$25),IF(D14="Bằng Tường",IF(D15="Hà Nội",$S$26,$S$27)))</f>
        <v>2350000</v>
      </c>
      <c r="E17" s="7" t="s">
        <v>30</v>
      </c>
      <c r="F17" s="54"/>
      <c r="I17" s="21" t="s">
        <v>53</v>
      </c>
      <c r="J17" s="250" t="s">
        <v>38</v>
      </c>
      <c r="K17" s="252"/>
      <c r="L17" s="31">
        <v>9000</v>
      </c>
      <c r="M17" s="31">
        <v>8100</v>
      </c>
      <c r="N17" s="31">
        <v>7200</v>
      </c>
      <c r="O17" s="31">
        <v>6300</v>
      </c>
    </row>
    <row r="18" spans="1:19" ht="19.5" customHeight="1" x14ac:dyDescent="0.25">
      <c r="A18" s="63"/>
      <c r="B18" s="70" t="s">
        <v>87</v>
      </c>
      <c r="C18" s="71">
        <f>C9+C21+C8*IF(C14="Quảng châu",1000000,700000)+C23+C24-C25</f>
        <v>17429750</v>
      </c>
      <c r="D18" s="71">
        <f>D9</f>
        <v>16723750</v>
      </c>
      <c r="F18" s="96">
        <f>C18-C9</f>
        <v>706000</v>
      </c>
      <c r="I18" s="22" t="s">
        <v>55</v>
      </c>
      <c r="J18" s="259"/>
      <c r="K18" s="260"/>
      <c r="L18" s="33">
        <v>12500</v>
      </c>
      <c r="M18" s="33">
        <v>11250</v>
      </c>
      <c r="N18" s="33">
        <v>10000</v>
      </c>
      <c r="O18" s="33">
        <v>8750</v>
      </c>
    </row>
    <row r="19" spans="1:19" ht="19.5" customHeight="1" x14ac:dyDescent="0.25">
      <c r="A19" s="63"/>
      <c r="C19" s="71"/>
      <c r="D19" s="71"/>
      <c r="F19" s="65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9.5" customHeight="1" x14ac:dyDescent="0.25">
      <c r="A20" s="56"/>
      <c r="B20" s="57" t="s">
        <v>54</v>
      </c>
      <c r="C20" s="58"/>
      <c r="D20" s="58"/>
      <c r="E20" s="58"/>
      <c r="F20" s="59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9.5" customHeight="1" x14ac:dyDescent="0.25">
      <c r="A21" s="52">
        <v>1</v>
      </c>
      <c r="B21" s="7" t="s">
        <v>88</v>
      </c>
      <c r="C21" s="10">
        <f>IF(C13=$I$6,$J$6*C6,$J$5*C6)</f>
        <v>400000</v>
      </c>
      <c r="D21" s="10">
        <f>IF(D13=$I$6,$J$6*D6,$J$5*D6)</f>
        <v>400000</v>
      </c>
      <c r="E21" s="7" t="s">
        <v>30</v>
      </c>
      <c r="F21" s="54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9.5" customHeight="1" x14ac:dyDescent="0.25">
      <c r="A22" s="52">
        <v>2</v>
      </c>
      <c r="B22" s="7" t="s">
        <v>89</v>
      </c>
      <c r="C22" s="10">
        <f>MIN(C16:C17)</f>
        <v>2115000</v>
      </c>
      <c r="D22" s="10">
        <f>MIN(D16:D17)</f>
        <v>2115000</v>
      </c>
      <c r="E22" s="7" t="s">
        <v>30</v>
      </c>
      <c r="F22" s="95"/>
      <c r="I22" s="273" t="s">
        <v>58</v>
      </c>
      <c r="J22" s="273"/>
      <c r="K22" s="273"/>
      <c r="L22" s="273"/>
      <c r="M22" s="273"/>
      <c r="N22" s="273"/>
      <c r="O22" s="273"/>
      <c r="P22" s="273"/>
      <c r="Q22" s="24" t="s">
        <v>19</v>
      </c>
      <c r="R22" s="24" t="s">
        <v>19</v>
      </c>
      <c r="S22" s="24" t="s">
        <v>19</v>
      </c>
    </row>
    <row r="23" spans="1:19" ht="19.5" customHeight="1" x14ac:dyDescent="0.25">
      <c r="A23" s="52">
        <v>3</v>
      </c>
      <c r="B23" s="7" t="s">
        <v>56</v>
      </c>
      <c r="C23" s="10">
        <f>IF((C9/MAX(C8,C7/250))&gt;100000000,(C9/MAX(C8,C7/250)-100000000)*MAX(C8,C7/250)*1%,0)</f>
        <v>0</v>
      </c>
      <c r="D23" s="10">
        <f>IF((D9/MAX(D8,D7/250))&gt;100000000,(D9/MAX(D8,D7/250)-100000000)*MAX(D8,D7/250)*1%,0)</f>
        <v>0</v>
      </c>
      <c r="E23" s="7"/>
      <c r="F23" s="95"/>
      <c r="I23" s="25" t="s">
        <v>60</v>
      </c>
      <c r="J23" s="261" t="s">
        <v>23</v>
      </c>
      <c r="K23" s="261"/>
      <c r="L23" s="262"/>
      <c r="M23" s="27" t="s">
        <v>61</v>
      </c>
      <c r="N23" s="27" t="s">
        <v>62</v>
      </c>
      <c r="O23" s="27" t="s">
        <v>63</v>
      </c>
      <c r="P23" s="27" t="s">
        <v>64</v>
      </c>
      <c r="Q23" s="27" t="s">
        <v>65</v>
      </c>
      <c r="R23" s="27" t="s">
        <v>66</v>
      </c>
      <c r="S23" s="34" t="s">
        <v>67</v>
      </c>
    </row>
    <row r="24" spans="1:19" ht="31.5" customHeight="1" x14ac:dyDescent="0.25">
      <c r="A24" s="52">
        <v>4</v>
      </c>
      <c r="B24" s="7" t="s">
        <v>68</v>
      </c>
      <c r="C24" s="15"/>
      <c r="D24" s="15"/>
      <c r="E24" s="7"/>
      <c r="F24" s="60" t="s">
        <v>69</v>
      </c>
      <c r="I24" s="29" t="s">
        <v>31</v>
      </c>
      <c r="J24" s="250" t="s">
        <v>32</v>
      </c>
      <c r="K24" s="251"/>
      <c r="L24" s="252"/>
      <c r="M24" s="31">
        <v>1850000</v>
      </c>
      <c r="N24" s="31">
        <v>1800000</v>
      </c>
      <c r="O24" s="31">
        <v>1600000</v>
      </c>
      <c r="P24" s="31">
        <v>1500000</v>
      </c>
      <c r="Q24" s="31">
        <v>1400000</v>
      </c>
      <c r="R24" s="31">
        <v>1300000</v>
      </c>
      <c r="S24" s="37">
        <f>MAX(IF($C$8&lt;1,M24*$C$8,IF($C$8&lt;2,N24*$C$8,IF($C$8&lt;5,O24*$C$8,IF($C$8&lt;10,P24*$C$8,IF($C$8&lt;20,Q24*$C$8,R24*$C$8))))),IF($C$7&lt;300,M30*$C$7,IF($C$7&lt;500,N30*$C$7,IF($C$7&lt;1500,O30*$C$7,IF($C$7&lt;5000,P30*$C$7,Q30*$C$7)))))</f>
        <v>1692000</v>
      </c>
    </row>
    <row r="25" spans="1:19" ht="19.5" customHeight="1" x14ac:dyDescent="0.25">
      <c r="A25" s="52">
        <v>8</v>
      </c>
      <c r="B25" s="7" t="s">
        <v>70</v>
      </c>
      <c r="C25" s="15"/>
      <c r="D25" s="15"/>
      <c r="E25" s="7"/>
      <c r="F25" s="54"/>
      <c r="I25" s="29" t="s">
        <v>35</v>
      </c>
      <c r="J25" s="253"/>
      <c r="K25" s="254"/>
      <c r="L25" s="255"/>
      <c r="M25" s="32">
        <v>2600000</v>
      </c>
      <c r="N25" s="32">
        <v>2300000</v>
      </c>
      <c r="O25" s="32">
        <v>2100000</v>
      </c>
      <c r="P25" s="32">
        <v>2000000</v>
      </c>
      <c r="Q25" s="32">
        <v>1900000</v>
      </c>
      <c r="R25" s="32">
        <v>1800000</v>
      </c>
      <c r="S25" s="37">
        <f>MAX(IF($C$8&lt;1,M25*$C$8,IF($C$8&lt;2,N25*$C$8,IF($C$8&lt;5,O25*$C$8,IF($C$8&lt;10,P25*$C$8,IF($C$8&lt;20,Q25*$C$8,R25*$C$8))))),IF($C$7&lt;300,M31*$C$7,IF($C$7&lt;500,N31*$C$7,IF($C$7&lt;1500,O31*$C$7,IF($C$7&lt;5000,P31*$C$7,Q31*$C$7)))))</f>
        <v>2350000</v>
      </c>
    </row>
    <row r="26" spans="1:19" ht="19.5" customHeight="1" x14ac:dyDescent="0.25">
      <c r="A26" s="52">
        <v>5</v>
      </c>
      <c r="B26" s="7" t="s">
        <v>90</v>
      </c>
      <c r="C26" s="11">
        <v>0</v>
      </c>
      <c r="D26" s="11"/>
      <c r="E26" s="7" t="s">
        <v>30</v>
      </c>
      <c r="F26" s="54"/>
      <c r="I26" s="29" t="s">
        <v>37</v>
      </c>
      <c r="J26" s="250" t="s">
        <v>38</v>
      </c>
      <c r="K26" s="251"/>
      <c r="L26" s="252"/>
      <c r="M26" s="31">
        <v>1450000</v>
      </c>
      <c r="N26" s="31">
        <v>1400000</v>
      </c>
      <c r="O26" s="31">
        <v>1300000</v>
      </c>
      <c r="P26" s="31">
        <v>1200000</v>
      </c>
      <c r="Q26" s="31">
        <v>1100000</v>
      </c>
      <c r="R26" s="31">
        <v>1000000</v>
      </c>
      <c r="S26" s="37">
        <f>MAX(IF($C$8&lt;1,M26*$C$8,IF($C$8&lt;2,N26*$C$8,IF($C$8&lt;5,O26*$C$8,IF($C$8&lt;10,P26*$C$8,IF($C$8&lt;20,Q26*$C$8,R26*$C$8))))),IF($C$7&lt;300,M32*$C$7,IF($C$7&lt;500,N32*$C$7,IF($C$7&lt;1500,O32*$C$7,IF($C$7&lt;5000,P32*$C$7,Q32*$C$7)))))</f>
        <v>1692000</v>
      </c>
    </row>
    <row r="27" spans="1:19" ht="19.5" customHeight="1" x14ac:dyDescent="0.25">
      <c r="A27" s="52">
        <v>6</v>
      </c>
      <c r="B27" s="7" t="s">
        <v>91</v>
      </c>
      <c r="C27" s="10">
        <f>C18*C11%+(C18+C18*C11%)*C12%</f>
        <v>0</v>
      </c>
      <c r="D27" s="10">
        <f>D18*D11%+(D18+D18*D11%)*D12%</f>
        <v>0</v>
      </c>
      <c r="E27" s="7"/>
      <c r="F27" s="95"/>
      <c r="I27" s="30" t="s">
        <v>40</v>
      </c>
      <c r="J27" s="256"/>
      <c r="K27" s="257"/>
      <c r="L27" s="258"/>
      <c r="M27" s="33">
        <v>2150000</v>
      </c>
      <c r="N27" s="33">
        <v>1900000</v>
      </c>
      <c r="O27" s="33">
        <v>1800000</v>
      </c>
      <c r="P27" s="33">
        <v>1700000</v>
      </c>
      <c r="Q27" s="33">
        <v>1600000</v>
      </c>
      <c r="R27" s="33">
        <v>1500000</v>
      </c>
      <c r="S27" s="37">
        <f>MAX(IF($C$8&lt;1,M27*$C$8,IF($C$8&lt;2,N27*$C$8,IF($C$8&lt;5,O27*$C$8,IF($C$8&lt;10,P27*$C$8,IF($C$8&lt;20,Q27*$C$8,R27*$C$8))))),IF($C$7&lt;300,M33*$C$7,IF($C$7&lt;500,N33*$C$7,IF($C$7&lt;1500,O33*$C$7,IF($C$7&lt;5000,P33*$C$7,Q33*$C$7)))))</f>
        <v>2350000</v>
      </c>
    </row>
    <row r="28" spans="1:19" ht="19.5" customHeight="1" x14ac:dyDescent="0.25">
      <c r="A28" s="52">
        <v>7</v>
      </c>
      <c r="B28" s="7" t="s">
        <v>92</v>
      </c>
      <c r="C28" s="10">
        <f>(C18+C27)*0.08</f>
        <v>1394380</v>
      </c>
      <c r="D28" s="10">
        <f>(D9+D9*D11%+(D9+D9*D11%)*D12%)*D10%</f>
        <v>1337900</v>
      </c>
      <c r="E28" s="7" t="s">
        <v>30</v>
      </c>
      <c r="F28" s="95"/>
      <c r="I28" s="23" t="s">
        <v>73</v>
      </c>
      <c r="J28" s="23"/>
      <c r="K28" s="23"/>
      <c r="L28" s="23"/>
      <c r="M28" s="24" t="s">
        <v>19</v>
      </c>
      <c r="N28" s="24" t="s">
        <v>19</v>
      </c>
      <c r="O28" s="24" t="s">
        <v>19</v>
      </c>
      <c r="P28" s="24" t="s">
        <v>19</v>
      </c>
      <c r="Q28" s="24" t="s">
        <v>19</v>
      </c>
      <c r="R28" s="24" t="s">
        <v>19</v>
      </c>
      <c r="S28" s="24" t="s">
        <v>19</v>
      </c>
    </row>
    <row r="29" spans="1:19" ht="22.5" customHeight="1" x14ac:dyDescent="0.25">
      <c r="A29" s="56"/>
      <c r="B29" s="57" t="s">
        <v>93</v>
      </c>
      <c r="C29" s="58" t="s">
        <v>94</v>
      </c>
      <c r="D29" s="58" t="s">
        <v>95</v>
      </c>
      <c r="E29" s="58"/>
      <c r="F29" s="59"/>
      <c r="I29" s="25" t="s">
        <v>75</v>
      </c>
      <c r="J29" s="261" t="s">
        <v>23</v>
      </c>
      <c r="K29" s="261"/>
      <c r="L29" s="262"/>
      <c r="M29" s="26" t="s">
        <v>76</v>
      </c>
      <c r="N29" s="27" t="s">
        <v>77</v>
      </c>
      <c r="O29" s="27" t="s">
        <v>78</v>
      </c>
      <c r="P29" s="27" t="s">
        <v>79</v>
      </c>
      <c r="Q29" s="27" t="s">
        <v>80</v>
      </c>
      <c r="R29" s="28"/>
    </row>
    <row r="30" spans="1:19" ht="22.5" customHeight="1" x14ac:dyDescent="0.25">
      <c r="A30" s="61"/>
      <c r="B30" s="12" t="s">
        <v>96</v>
      </c>
      <c r="C30" s="13">
        <f>C21+C23+C22+C24+C27+C26-C25</f>
        <v>2515000</v>
      </c>
      <c r="D30" s="13">
        <f>SUM(D21:D27)-D25</f>
        <v>2515000</v>
      </c>
      <c r="E30" s="12" t="s">
        <v>30</v>
      </c>
      <c r="F30" s="62"/>
      <c r="I30" s="29" t="s">
        <v>48</v>
      </c>
      <c r="J30" s="250" t="s">
        <v>32</v>
      </c>
      <c r="K30" s="251"/>
      <c r="L30" s="252"/>
      <c r="M30" s="31">
        <v>9000</v>
      </c>
      <c r="N30" s="31">
        <v>8000</v>
      </c>
      <c r="O30" s="31">
        <v>7000</v>
      </c>
      <c r="P30" s="31">
        <v>6000</v>
      </c>
      <c r="Q30" s="31">
        <v>5000</v>
      </c>
      <c r="R30" s="31"/>
    </row>
    <row r="31" spans="1:19" ht="36.75" customHeight="1" x14ac:dyDescent="0.25">
      <c r="A31" s="61"/>
      <c r="B31" s="12" t="s">
        <v>97</v>
      </c>
      <c r="C31" s="13">
        <f>C28+C26*8%+(C22-C8*IF(C14="Quảng châu",1000000,700000))*0.08</f>
        <v>1539100</v>
      </c>
      <c r="D31" s="13">
        <f>D28+D18*0.01*D10%+D26*D10%</f>
        <v>1351279</v>
      </c>
      <c r="E31" s="12" t="s">
        <v>30</v>
      </c>
      <c r="F31" s="94" t="s">
        <v>98</v>
      </c>
      <c r="I31" s="29" t="s">
        <v>51</v>
      </c>
      <c r="J31" s="253"/>
      <c r="K31" s="254"/>
      <c r="L31" s="255"/>
      <c r="M31" s="32">
        <v>12500</v>
      </c>
      <c r="N31" s="32">
        <v>11500</v>
      </c>
      <c r="O31" s="32">
        <v>10500</v>
      </c>
      <c r="P31" s="32">
        <v>9500</v>
      </c>
      <c r="Q31" s="32">
        <v>8500</v>
      </c>
      <c r="R31" s="32"/>
    </row>
    <row r="32" spans="1:19" ht="38.25" customHeight="1" x14ac:dyDescent="0.25">
      <c r="A32" s="76"/>
      <c r="B32" s="77" t="s">
        <v>99</v>
      </c>
      <c r="C32" s="78">
        <f>C9+C30</f>
        <v>19238750</v>
      </c>
      <c r="D32" s="78">
        <f>(D18+D27+D26)*1.01</f>
        <v>16890987.5</v>
      </c>
      <c r="E32" s="77"/>
      <c r="F32" s="79"/>
      <c r="I32" s="29" t="s">
        <v>53</v>
      </c>
      <c r="J32" s="250" t="s">
        <v>38</v>
      </c>
      <c r="K32" s="251"/>
      <c r="L32" s="252"/>
      <c r="M32" s="31">
        <v>9000</v>
      </c>
      <c r="N32" s="31">
        <v>8000</v>
      </c>
      <c r="O32" s="31">
        <v>7000</v>
      </c>
      <c r="P32" s="31">
        <v>6000</v>
      </c>
      <c r="Q32" s="31">
        <v>5000</v>
      </c>
      <c r="R32" s="31"/>
    </row>
    <row r="33" spans="1:20" ht="33.75" customHeight="1" x14ac:dyDescent="0.25">
      <c r="A33" s="76"/>
      <c r="B33" s="89" t="s">
        <v>100</v>
      </c>
      <c r="C33" s="93">
        <f>C18/5000/26368</f>
        <v>0.13220380764563106</v>
      </c>
      <c r="D33" s="78"/>
      <c r="E33" s="77"/>
      <c r="F33" s="79">
        <f>C9+400000+306000+1409000</f>
        <v>18838750</v>
      </c>
      <c r="I33" s="30" t="s">
        <v>55</v>
      </c>
      <c r="J33" s="256"/>
      <c r="K33" s="257"/>
      <c r="L33" s="258"/>
      <c r="M33" s="33">
        <v>12500</v>
      </c>
      <c r="N33" s="33">
        <v>11500</v>
      </c>
      <c r="O33" s="33">
        <v>10500</v>
      </c>
      <c r="P33" s="33">
        <v>9500</v>
      </c>
      <c r="Q33" s="33">
        <v>8500</v>
      </c>
      <c r="R33" s="33"/>
    </row>
    <row r="34" spans="1:20" ht="33.75" customHeight="1" x14ac:dyDescent="0.25">
      <c r="A34" s="76"/>
      <c r="B34" s="89" t="s">
        <v>101</v>
      </c>
      <c r="C34" s="93">
        <f>C33/5000</f>
        <v>2.6440761529126211E-5</v>
      </c>
      <c r="D34" s="78"/>
      <c r="E34" s="77"/>
      <c r="F34" s="79"/>
      <c r="I34" s="90"/>
      <c r="J34" s="91"/>
      <c r="K34" s="91"/>
      <c r="L34" s="91"/>
      <c r="M34" s="92"/>
      <c r="N34" s="92"/>
      <c r="O34" s="92"/>
      <c r="P34" s="92"/>
      <c r="Q34" s="92"/>
      <c r="R34" s="92"/>
    </row>
    <row r="35" spans="1:20" ht="45" x14ac:dyDescent="0.25">
      <c r="A35" s="80"/>
      <c r="B35" s="81"/>
      <c r="C35" s="82" t="s">
        <v>102</v>
      </c>
      <c r="D35" s="83" t="s">
        <v>103</v>
      </c>
      <c r="E35" s="82" t="s">
        <v>104</v>
      </c>
      <c r="F35" s="86" t="s">
        <v>105</v>
      </c>
      <c r="Q35" s="3"/>
      <c r="R35" s="3"/>
      <c r="S35" s="3"/>
    </row>
    <row r="36" spans="1:20" x14ac:dyDescent="0.25">
      <c r="A36" s="80"/>
      <c r="B36" s="81"/>
      <c r="C36" s="83">
        <f>(C32-D32)*0.17</f>
        <v>399119.625</v>
      </c>
      <c r="D36" s="83">
        <f>C31-D31</f>
        <v>187821</v>
      </c>
      <c r="E36" s="84">
        <f>C30-D30</f>
        <v>0</v>
      </c>
      <c r="F36" s="85">
        <f>C36-D36-E36</f>
        <v>211298.625</v>
      </c>
    </row>
    <row r="37" spans="1:20" x14ac:dyDescent="0.25">
      <c r="A37" s="263" t="s">
        <v>72</v>
      </c>
      <c r="B37" s="264"/>
      <c r="C37" s="264"/>
      <c r="D37" s="264"/>
      <c r="E37" s="264"/>
      <c r="F37" s="265"/>
      <c r="I37" s="47"/>
      <c r="J37" s="47"/>
    </row>
    <row r="38" spans="1:20" ht="30" x14ac:dyDescent="0.25">
      <c r="A38" s="52">
        <v>1</v>
      </c>
      <c r="B38" s="7" t="s">
        <v>74</v>
      </c>
      <c r="C38" s="42">
        <v>75000000</v>
      </c>
      <c r="D38" s="42">
        <v>75000000</v>
      </c>
      <c r="E38" s="7"/>
      <c r="F38" s="60" t="str">
        <f>"KH chuyển khoản cho Eureka thanh toán hộ cho nhà cung cấp số tiền "&amp;C38</f>
        <v>KH chuyển khoản cho Eureka thanh toán hộ cho nhà cung cấp số tiền 75000000</v>
      </c>
      <c r="I38" s="47"/>
    </row>
    <row r="39" spans="1:20" ht="88.5" customHeight="1" x14ac:dyDescent="0.25">
      <c r="A39" s="52">
        <v>2</v>
      </c>
      <c r="B39" s="14" t="s">
        <v>81</v>
      </c>
      <c r="C39" s="43">
        <f>C32-C38</f>
        <v>-55761250</v>
      </c>
      <c r="D39" s="43">
        <f>D32-D38</f>
        <v>-58109012.5</v>
      </c>
      <c r="E39" s="7"/>
      <c r="F39" s="60" t="str">
        <f>IF(C39&gt;0,"KH chuyển khoản vào tài khoản công ty số tiền "&amp;C39,"Khách hàng đang còn thừa công nợ trên sổ sách số tiền "&amp;-C39)</f>
        <v>Khách hàng đang còn thừa công nợ trên sổ sách số tiền 55761250</v>
      </c>
      <c r="Q39" s="4"/>
      <c r="R39" s="4"/>
      <c r="S39" s="4"/>
    </row>
    <row r="40" spans="1:20" ht="78.75" x14ac:dyDescent="0.25">
      <c r="A40" s="66">
        <v>3</v>
      </c>
      <c r="B40" s="67" t="s">
        <v>82</v>
      </c>
      <c r="C40" s="68" t="str">
        <f>IF(C39&gt;0,C39,"Khách hàng đang còn thừa công nợ trên sổ sách số tiền "&amp;-C39)</f>
        <v>Khách hàng đang còn thừa công nợ trên sổ sách số tiền 55761250</v>
      </c>
      <c r="D40" s="68" t="str">
        <f>IF(D39&gt;0,D39,"Khách hàng đang còn thừa công nợ trên sổ sách số tiền "&amp;-D39)</f>
        <v>Khách hàng đang còn thừa công nợ trên sổ sách số tiền 58109012,5</v>
      </c>
      <c r="E40" s="67"/>
      <c r="F40" s="69" t="str">
        <f>IF(C40&lt;0,"Hoàn trả khách hàng số tiền "&amp;-C40&amp;" Qua tài khoản khách hàng cung cấp",IF(C39&lt;0,C40," Khách hàng chuyển trả thêm Eureka số tiền "&amp;C40&amp; " Qua tài khoản kế toán Eureka cung cấp"))</f>
        <v>Khách hàng đang còn thừa công nợ trên sổ sách số tiền 55761250</v>
      </c>
      <c r="I40" s="47"/>
      <c r="J40" s="47"/>
      <c r="K40" s="47"/>
    </row>
    <row r="41" spans="1:20" ht="60" x14ac:dyDescent="0.25">
      <c r="C41" t="s">
        <v>106</v>
      </c>
      <c r="D41" s="70" t="s">
        <v>107</v>
      </c>
      <c r="I41" s="47"/>
      <c r="K41" s="44"/>
    </row>
    <row r="43" spans="1:20" x14ac:dyDescent="0.25">
      <c r="Q43" s="5"/>
      <c r="R43" s="5"/>
      <c r="S43" s="6"/>
    </row>
    <row r="44" spans="1:20" x14ac:dyDescent="0.25">
      <c r="T44" s="2"/>
    </row>
    <row r="45" spans="1:20" x14ac:dyDescent="0.25">
      <c r="I45" s="1"/>
      <c r="J45" s="1"/>
      <c r="K45" s="1"/>
    </row>
    <row r="46" spans="1:20" x14ac:dyDescent="0.25">
      <c r="I46" s="1"/>
      <c r="J46" s="1"/>
      <c r="K46" s="1"/>
    </row>
    <row r="47" spans="1:20" x14ac:dyDescent="0.25">
      <c r="I47" s="1"/>
      <c r="J47" s="1"/>
      <c r="K47" s="1"/>
    </row>
    <row r="48" spans="1:20" x14ac:dyDescent="0.25">
      <c r="I48" s="1"/>
      <c r="J48" s="1"/>
      <c r="K48" s="45"/>
    </row>
    <row r="49" spans="9:11" x14ac:dyDescent="0.25">
      <c r="I49" s="1"/>
      <c r="J49" s="1"/>
      <c r="K49" s="1"/>
    </row>
    <row r="50" spans="9:11" x14ac:dyDescent="0.25">
      <c r="I50" s="1"/>
      <c r="J50" s="1"/>
      <c r="K50" s="1"/>
    </row>
  </sheetData>
  <mergeCells count="16">
    <mergeCell ref="A37:F37"/>
    <mergeCell ref="J29:L29"/>
    <mergeCell ref="J30:L31"/>
    <mergeCell ref="J32:L33"/>
    <mergeCell ref="J15:K16"/>
    <mergeCell ref="J17:K18"/>
    <mergeCell ref="I22:P22"/>
    <mergeCell ref="J23:L23"/>
    <mergeCell ref="J24:L25"/>
    <mergeCell ref="J26:L27"/>
    <mergeCell ref="J14:K14"/>
    <mergeCell ref="A2:F2"/>
    <mergeCell ref="I7:P7"/>
    <mergeCell ref="J8:K8"/>
    <mergeCell ref="J9:K10"/>
    <mergeCell ref="J11:K12"/>
  </mergeCells>
  <dataValidations count="4">
    <dataValidation type="list" allowBlank="1" showInputMessage="1" showErrorMessage="1" sqref="C4:D4" xr:uid="{9D93ED37-1EDE-4EF1-9FC7-27759B88ED8F}">
      <formula1>"Elite,Premium,Pro,Basic"</formula1>
    </dataValidation>
    <dataValidation type="list" allowBlank="1" showInputMessage="1" showErrorMessage="1" sqref="I4 C13:D13" xr:uid="{90A8E151-BEA9-4579-B975-3C95FD27F76E}">
      <formula1>"Bộ,Biển"</formula1>
    </dataValidation>
    <dataValidation type="list" allowBlank="1" showInputMessage="1" showErrorMessage="1" sqref="C14:D14" xr:uid="{38989489-F2D5-40C7-915C-8266AF5D2B47}">
      <formula1>"Quảng Châu,Bằng Tường"</formula1>
    </dataValidation>
    <dataValidation type="list" allowBlank="1" showInputMessage="1" showErrorMessage="1" sqref="C15:D15" xr:uid="{54880618-FA0C-4F5E-B871-817972093479}">
      <formula1>"Hà Nội,Hồ Chí Minh"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AD1A-95D8-45AF-9ADF-7A83A50F21C7}">
  <dimension ref="A2:T49"/>
  <sheetViews>
    <sheetView showGridLines="0" topLeftCell="A16" workbookViewId="0">
      <selection activeCell="F36" sqref="A36:F36"/>
    </sheetView>
  </sheetViews>
  <sheetFormatPr defaultRowHeight="15" x14ac:dyDescent="0.25"/>
  <cols>
    <col min="1" max="1" width="4.42578125" customWidth="1"/>
    <col min="2" max="2" width="33.5703125" customWidth="1"/>
    <col min="3" max="4" width="15.5703125" customWidth="1"/>
    <col min="5" max="5" width="12" customWidth="1"/>
    <col min="6" max="6" width="38.140625" customWidth="1"/>
    <col min="7" max="7" width="9.140625" customWidth="1"/>
    <col min="8" max="8" width="14.28515625" customWidth="1"/>
    <col min="9" max="9" width="22" customWidth="1"/>
    <col min="10" max="11" width="16.140625" customWidth="1"/>
    <col min="12" max="16" width="12.28515625" customWidth="1"/>
    <col min="17" max="21" width="9.140625" customWidth="1"/>
  </cols>
  <sheetData>
    <row r="2" spans="1:19" ht="27.75" customHeight="1" x14ac:dyDescent="0.25">
      <c r="A2" s="266" t="s">
        <v>0</v>
      </c>
      <c r="B2" s="267"/>
      <c r="C2" s="267"/>
      <c r="D2" s="267"/>
      <c r="E2" s="267"/>
      <c r="F2" s="268"/>
      <c r="I2" s="8"/>
      <c r="J2" t="s">
        <v>1</v>
      </c>
    </row>
    <row r="3" spans="1:19" ht="54.75" customHeight="1" x14ac:dyDescent="0.25">
      <c r="A3" s="72"/>
      <c r="C3" s="75" t="s">
        <v>83</v>
      </c>
      <c r="D3" s="75" t="s">
        <v>108</v>
      </c>
      <c r="E3" s="73"/>
      <c r="F3" s="74"/>
      <c r="I3" s="8"/>
    </row>
    <row r="4" spans="1:19" ht="27.75" customHeight="1" x14ac:dyDescent="0.25">
      <c r="A4" s="48"/>
      <c r="B4" s="39" t="s">
        <v>2</v>
      </c>
      <c r="C4" s="40" t="s">
        <v>3</v>
      </c>
      <c r="D4" s="40"/>
      <c r="E4" s="39"/>
      <c r="F4" s="49"/>
      <c r="I4" s="9"/>
      <c r="J4" t="s">
        <v>4</v>
      </c>
    </row>
    <row r="5" spans="1:19" x14ac:dyDescent="0.25">
      <c r="A5" s="50">
        <v>1</v>
      </c>
      <c r="B5" s="41" t="s">
        <v>5</v>
      </c>
      <c r="C5" s="274" t="s">
        <v>6</v>
      </c>
      <c r="D5" s="275"/>
      <c r="E5" s="41" t="s">
        <v>7</v>
      </c>
      <c r="F5" s="51" t="s">
        <v>8</v>
      </c>
      <c r="G5" s="1" t="s">
        <v>9</v>
      </c>
      <c r="H5" s="1" t="s">
        <v>10</v>
      </c>
      <c r="I5" s="1" t="s">
        <v>11</v>
      </c>
      <c r="J5" s="1">
        <v>500000</v>
      </c>
    </row>
    <row r="6" spans="1:19" x14ac:dyDescent="0.25">
      <c r="A6" s="52">
        <v>2</v>
      </c>
      <c r="B6" s="7" t="s">
        <v>12</v>
      </c>
      <c r="C6" s="8">
        <v>2</v>
      </c>
      <c r="D6" s="8">
        <f>C6</f>
        <v>2</v>
      </c>
      <c r="E6" s="7" t="s">
        <v>13</v>
      </c>
      <c r="F6" s="53"/>
      <c r="H6" s="1"/>
      <c r="I6" s="1" t="s">
        <v>14</v>
      </c>
      <c r="J6" s="1">
        <v>400000</v>
      </c>
    </row>
    <row r="7" spans="1:19" ht="15.75" x14ac:dyDescent="0.25">
      <c r="A7" s="52">
        <v>3</v>
      </c>
      <c r="B7" s="7" t="s">
        <v>15</v>
      </c>
      <c r="C7" s="8">
        <v>476.52</v>
      </c>
      <c r="D7" s="8">
        <f t="shared" ref="D7:D13" si="0">C7</f>
        <v>476.52</v>
      </c>
      <c r="E7" s="7" t="s">
        <v>16</v>
      </c>
      <c r="F7" s="54"/>
      <c r="H7" s="1" t="s">
        <v>17</v>
      </c>
      <c r="I7" s="272" t="s">
        <v>18</v>
      </c>
      <c r="J7" s="272"/>
      <c r="K7" s="272"/>
      <c r="L7" s="272"/>
      <c r="M7" s="272"/>
      <c r="N7" s="272"/>
      <c r="O7" s="272"/>
      <c r="P7" s="272"/>
      <c r="Q7" s="17" t="s">
        <v>19</v>
      </c>
      <c r="R7" s="17" t="s">
        <v>19</v>
      </c>
      <c r="S7" s="17" t="s">
        <v>19</v>
      </c>
    </row>
    <row r="8" spans="1:19" ht="19.5" customHeight="1" x14ac:dyDescent="0.25">
      <c r="A8" s="52">
        <v>4</v>
      </c>
      <c r="B8" s="7" t="s">
        <v>20</v>
      </c>
      <c r="C8" s="8">
        <v>40</v>
      </c>
      <c r="D8" s="8">
        <f t="shared" si="0"/>
        <v>40</v>
      </c>
      <c r="E8" s="7" t="s">
        <v>21</v>
      </c>
      <c r="F8" s="54"/>
      <c r="I8" s="18" t="s">
        <v>22</v>
      </c>
      <c r="J8" s="269" t="s">
        <v>23</v>
      </c>
      <c r="K8" s="269"/>
      <c r="L8" s="20" t="s">
        <v>24</v>
      </c>
      <c r="M8" s="19" t="s">
        <v>25</v>
      </c>
      <c r="N8" s="19" t="s">
        <v>26</v>
      </c>
      <c r="O8" s="19" t="s">
        <v>27</v>
      </c>
      <c r="P8" s="34" t="s">
        <v>28</v>
      </c>
    </row>
    <row r="9" spans="1:19" ht="32.25" customHeight="1" x14ac:dyDescent="0.25">
      <c r="A9" s="52"/>
      <c r="B9" s="7" t="s">
        <v>109</v>
      </c>
      <c r="C9" s="16">
        <v>67002089</v>
      </c>
      <c r="D9" s="16">
        <f>C9</f>
        <v>67002089</v>
      </c>
      <c r="E9" s="7"/>
      <c r="F9" s="54" t="s">
        <v>110</v>
      </c>
      <c r="I9" s="21" t="s">
        <v>31</v>
      </c>
      <c r="J9" s="250" t="s">
        <v>32</v>
      </c>
      <c r="K9" s="252"/>
      <c r="L9" s="31">
        <v>1850000</v>
      </c>
      <c r="M9" s="31">
        <v>1665000</v>
      </c>
      <c r="N9" s="31">
        <v>1480000</v>
      </c>
      <c r="O9" s="31">
        <v>1295000</v>
      </c>
      <c r="P9" s="46">
        <f>MAX(IF($C$4="basic",L15*$C$7,IF($C$4="pro",M15*$C$7,IF($C$4="Premium",N15*$C$7,O15*$C$7))),IF($C$4="basic",L9*$C$8,IF($C$4="pro",M9*$C$8,IF($C$4="Premium",N9*$C$8,O9*$C$8))))</f>
        <v>66600000</v>
      </c>
    </row>
    <row r="10" spans="1:19" ht="33" customHeight="1" x14ac:dyDescent="0.25">
      <c r="A10" s="52">
        <v>5</v>
      </c>
      <c r="B10" s="14" t="s">
        <v>29</v>
      </c>
      <c r="C10" s="88">
        <v>67002089</v>
      </c>
      <c r="D10" s="88">
        <f>D9*F10</f>
        <v>53601671.200000003</v>
      </c>
      <c r="E10" s="7" t="s">
        <v>30</v>
      </c>
      <c r="F10" s="87">
        <v>0.8</v>
      </c>
      <c r="I10" s="21" t="s">
        <v>35</v>
      </c>
      <c r="J10" s="270"/>
      <c r="K10" s="271"/>
      <c r="L10" s="32">
        <v>2600000</v>
      </c>
      <c r="M10" s="32">
        <v>2340000</v>
      </c>
      <c r="N10" s="32">
        <v>2080000</v>
      </c>
      <c r="O10" s="32">
        <v>1820000</v>
      </c>
      <c r="P10" s="46">
        <f>MAX(IF($C$4="basic",L16*$C$7,IF($C$4="pro",M16*$C$7,IF($C$4="Premium",N16*$C$7,O16*$C$7))),IF($C$4="basic",L10*$C$8,IF($C$4="pro",M10*$C$8,IF($C$4="Premium",N10*$C$8,O10*$C$8))))</f>
        <v>93600000</v>
      </c>
    </row>
    <row r="11" spans="1:19" ht="19.5" customHeight="1" x14ac:dyDescent="0.25">
      <c r="A11" s="52">
        <v>6</v>
      </c>
      <c r="B11" s="7" t="s">
        <v>33</v>
      </c>
      <c r="C11" s="8">
        <v>8</v>
      </c>
      <c r="D11" s="8">
        <f t="shared" si="0"/>
        <v>8</v>
      </c>
      <c r="E11" s="7" t="s">
        <v>34</v>
      </c>
      <c r="F11" s="54"/>
      <c r="I11" s="21" t="s">
        <v>37</v>
      </c>
      <c r="J11" s="250" t="s">
        <v>38</v>
      </c>
      <c r="K11" s="252"/>
      <c r="L11" s="31">
        <v>1450000</v>
      </c>
      <c r="M11" s="31">
        <v>1305000</v>
      </c>
      <c r="N11" s="31">
        <v>1160000</v>
      </c>
      <c r="O11" s="31">
        <v>1015000</v>
      </c>
      <c r="P11" s="46">
        <f>MAX(IF($C$4="basic",L17*$C$7,IF($C$4="pro",M17*$C$7,IF($C$4="Premium",N17*$C$7,O17*$C$7))),IF($C$4="basic",L11*$C$8,IF($C$4="pro",M11*$C$8,IF($C$4="Premium",N11*$C$8,O11*$C$8))))</f>
        <v>52200000</v>
      </c>
    </row>
    <row r="12" spans="1:19" ht="19.5" customHeight="1" x14ac:dyDescent="0.25">
      <c r="A12" s="52">
        <v>7</v>
      </c>
      <c r="B12" s="7" t="s">
        <v>36</v>
      </c>
      <c r="C12" s="8">
        <v>15</v>
      </c>
      <c r="D12" s="8">
        <v>15</v>
      </c>
      <c r="E12" s="7" t="s">
        <v>34</v>
      </c>
      <c r="F12" s="54"/>
      <c r="I12" s="22" t="s">
        <v>40</v>
      </c>
      <c r="J12" s="259"/>
      <c r="K12" s="260"/>
      <c r="L12" s="33">
        <v>2150000</v>
      </c>
      <c r="M12" s="33">
        <v>1935000</v>
      </c>
      <c r="N12" s="33">
        <v>1720000</v>
      </c>
      <c r="O12" s="33">
        <v>1505000</v>
      </c>
      <c r="P12" s="46">
        <f>MAX(IF($C$4="basic",L18*$C$7,IF($C$4="pro",M18*$C$7,IF($C$4="Premium",N18*$C$7,O18*$C$7))),IF($C$4="basic",L12*$C$8,IF($C$4="pro",M12*$C$8,IF($C$4="Premium",N12*$C$8,O12*$C$8))))</f>
        <v>77400000</v>
      </c>
    </row>
    <row r="13" spans="1:19" ht="19.5" customHeight="1" x14ac:dyDescent="0.25">
      <c r="A13" s="52">
        <v>8</v>
      </c>
      <c r="B13" s="7" t="s">
        <v>39</v>
      </c>
      <c r="C13" s="8">
        <v>0</v>
      </c>
      <c r="D13" s="8">
        <f t="shared" si="0"/>
        <v>0</v>
      </c>
      <c r="E13" s="7" t="s">
        <v>34</v>
      </c>
      <c r="F13" s="54"/>
      <c r="I13" s="38" t="s">
        <v>42</v>
      </c>
      <c r="J13" s="23"/>
      <c r="K13" s="23"/>
      <c r="L13" s="23"/>
      <c r="M13" s="24" t="s">
        <v>19</v>
      </c>
      <c r="N13" s="24" t="s">
        <v>19</v>
      </c>
      <c r="O13" s="24" t="s">
        <v>19</v>
      </c>
      <c r="P13" s="35"/>
    </row>
    <row r="14" spans="1:19" ht="29.25" customHeight="1" x14ac:dyDescent="0.25">
      <c r="A14" s="52">
        <v>9</v>
      </c>
      <c r="B14" s="7" t="s">
        <v>41</v>
      </c>
      <c r="C14" s="9" t="s">
        <v>14</v>
      </c>
      <c r="D14" s="9" t="s">
        <v>14</v>
      </c>
      <c r="E14" s="7"/>
      <c r="F14" s="53"/>
      <c r="I14" s="18" t="s">
        <v>45</v>
      </c>
      <c r="J14" s="269" t="s">
        <v>23</v>
      </c>
      <c r="K14" s="269"/>
      <c r="L14" s="20" t="s">
        <v>24</v>
      </c>
      <c r="M14" s="19" t="s">
        <v>25</v>
      </c>
      <c r="N14" s="19" t="s">
        <v>26</v>
      </c>
      <c r="O14" s="19" t="s">
        <v>27</v>
      </c>
    </row>
    <row r="15" spans="1:19" ht="19.5" customHeight="1" x14ac:dyDescent="0.25">
      <c r="A15" s="52">
        <v>10</v>
      </c>
      <c r="B15" s="7" t="s">
        <v>43</v>
      </c>
      <c r="C15" s="9" t="s">
        <v>85</v>
      </c>
      <c r="D15" s="9" t="s">
        <v>85</v>
      </c>
      <c r="E15" s="7"/>
      <c r="F15" s="55"/>
      <c r="I15" s="21" t="s">
        <v>48</v>
      </c>
      <c r="J15" s="250" t="s">
        <v>32</v>
      </c>
      <c r="K15" s="252"/>
      <c r="L15" s="31">
        <v>9000</v>
      </c>
      <c r="M15" s="31">
        <v>8100</v>
      </c>
      <c r="N15" s="31">
        <v>7200</v>
      </c>
      <c r="O15" s="31">
        <v>6300</v>
      </c>
    </row>
    <row r="16" spans="1:19" ht="19.5" customHeight="1" x14ac:dyDescent="0.25">
      <c r="A16" s="52">
        <v>11</v>
      </c>
      <c r="B16" s="7" t="s">
        <v>46</v>
      </c>
      <c r="C16" s="9" t="s">
        <v>86</v>
      </c>
      <c r="D16" s="9" t="s">
        <v>86</v>
      </c>
      <c r="E16" s="7"/>
      <c r="F16" s="54"/>
      <c r="I16" s="21" t="s">
        <v>51</v>
      </c>
      <c r="J16" s="270"/>
      <c r="K16" s="271"/>
      <c r="L16" s="32">
        <v>12500</v>
      </c>
      <c r="M16" s="32">
        <v>11250</v>
      </c>
      <c r="N16" s="32">
        <v>10000</v>
      </c>
      <c r="O16" s="32">
        <v>8750</v>
      </c>
    </row>
    <row r="17" spans="1:19" ht="36" customHeight="1" x14ac:dyDescent="0.25">
      <c r="A17" s="52">
        <v>12</v>
      </c>
      <c r="B17" s="7" t="s">
        <v>49</v>
      </c>
      <c r="C17" s="36">
        <f>IF(C15="Quảng Châu",IF(C16="Hà Nội",$P$9,$P$10),IF(C15="Bằng Tường",IF(C16="Hà Nội",$P$11,$P$12)))</f>
        <v>77400000</v>
      </c>
      <c r="D17" s="36">
        <f>IF(D15="Quảng Châu",IF(D16="Hà Nội",$P$9,$P$10),IF(D15="Bằng Tường",IF(D16="Hà Nội",$P$11,$P$12)))</f>
        <v>77400000</v>
      </c>
      <c r="E17" s="7" t="s">
        <v>50</v>
      </c>
      <c r="F17" s="54"/>
      <c r="I17" s="21" t="s">
        <v>53</v>
      </c>
      <c r="J17" s="250" t="s">
        <v>38</v>
      </c>
      <c r="K17" s="252"/>
      <c r="L17" s="31">
        <v>9000</v>
      </c>
      <c r="M17" s="31">
        <v>8100</v>
      </c>
      <c r="N17" s="31">
        <v>7200</v>
      </c>
      <c r="O17" s="31">
        <v>6300</v>
      </c>
    </row>
    <row r="18" spans="1:19" ht="19.5" customHeight="1" x14ac:dyDescent="0.25">
      <c r="A18" s="52">
        <v>13</v>
      </c>
      <c r="B18" s="14" t="s">
        <v>52</v>
      </c>
      <c r="C18" s="36">
        <f>IF(C15="Quảng Châu",IF(C16="Hà Nội",$S$24,$S$25),IF(C15="Bằng Tường",IF(C16="Hà Nội",$S$26,$S$27)))</f>
        <v>60000000</v>
      </c>
      <c r="D18" s="36">
        <f>IF(D15="Quảng Châu",IF(D16="Hà Nội",$S$24,$S$25),IF(D15="Bằng Tường",IF(D16="Hà Nội",$S$26,$S$27)))</f>
        <v>60000000</v>
      </c>
      <c r="E18" s="7" t="s">
        <v>30</v>
      </c>
      <c r="F18" s="54"/>
      <c r="I18" s="22" t="s">
        <v>55</v>
      </c>
      <c r="J18" s="259"/>
      <c r="K18" s="260"/>
      <c r="L18" s="33">
        <v>12500</v>
      </c>
      <c r="M18" s="33">
        <v>11250</v>
      </c>
      <c r="N18" s="33">
        <v>10000</v>
      </c>
      <c r="O18" s="33">
        <v>8750</v>
      </c>
    </row>
    <row r="19" spans="1:19" ht="19.5" customHeight="1" x14ac:dyDescent="0.25">
      <c r="A19" s="63"/>
      <c r="B19" s="70" t="s">
        <v>87</v>
      </c>
      <c r="C19" s="71">
        <f>C10+C22+C23+C24+C25-C26</f>
        <v>127802089</v>
      </c>
      <c r="D19" s="71">
        <f>D10+D22+D23+D24+D25-D26</f>
        <v>114401671.2</v>
      </c>
      <c r="F19" s="65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9.5" customHeight="1" x14ac:dyDescent="0.25">
      <c r="A20" s="63"/>
      <c r="C20" s="71"/>
      <c r="D20" s="71"/>
      <c r="F20" s="65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9.5" customHeight="1" x14ac:dyDescent="0.25">
      <c r="A21" s="56"/>
      <c r="B21" s="57" t="s">
        <v>54</v>
      </c>
      <c r="C21" s="58"/>
      <c r="D21" s="58"/>
      <c r="E21" s="58"/>
      <c r="F21" s="59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9.5" customHeight="1" x14ac:dyDescent="0.25">
      <c r="A22" s="52">
        <v>1</v>
      </c>
      <c r="B22" s="7" t="s">
        <v>88</v>
      </c>
      <c r="C22" s="10">
        <f>IF(C14=$I$6,$J$6*C6,$J$5*C6)</f>
        <v>800000</v>
      </c>
      <c r="D22" s="10">
        <f>IF(D14=$I$6,$J$6*D6,$J$5*D6)</f>
        <v>800000</v>
      </c>
      <c r="E22" s="7" t="s">
        <v>30</v>
      </c>
      <c r="F22" s="54"/>
      <c r="I22" s="273" t="s">
        <v>58</v>
      </c>
      <c r="J22" s="273"/>
      <c r="K22" s="273"/>
      <c r="L22" s="273"/>
      <c r="M22" s="273"/>
      <c r="N22" s="273"/>
      <c r="O22" s="273"/>
      <c r="P22" s="273"/>
      <c r="Q22" s="24" t="s">
        <v>19</v>
      </c>
      <c r="R22" s="24" t="s">
        <v>19</v>
      </c>
      <c r="S22" s="24" t="s">
        <v>19</v>
      </c>
    </row>
    <row r="23" spans="1:19" ht="19.5" customHeight="1" x14ac:dyDescent="0.25">
      <c r="A23" s="52">
        <v>2</v>
      </c>
      <c r="B23" s="7" t="s">
        <v>89</v>
      </c>
      <c r="C23" s="10">
        <f>MIN(C17:C18)</f>
        <v>60000000</v>
      </c>
      <c r="D23" s="10">
        <f>MIN(D17:D18)</f>
        <v>60000000</v>
      </c>
      <c r="E23" s="7" t="s">
        <v>30</v>
      </c>
      <c r="F23" s="54"/>
      <c r="I23" s="25" t="s">
        <v>60</v>
      </c>
      <c r="J23" s="261" t="s">
        <v>23</v>
      </c>
      <c r="K23" s="261"/>
      <c r="L23" s="262"/>
      <c r="M23" s="27" t="s">
        <v>61</v>
      </c>
      <c r="N23" s="27" t="s">
        <v>62</v>
      </c>
      <c r="O23" s="27" t="s">
        <v>63</v>
      </c>
      <c r="P23" s="27" t="s">
        <v>64</v>
      </c>
      <c r="Q23" s="27" t="s">
        <v>65</v>
      </c>
      <c r="R23" s="27" t="s">
        <v>66</v>
      </c>
      <c r="S23" s="34" t="s">
        <v>67</v>
      </c>
    </row>
    <row r="24" spans="1:19" ht="31.5" customHeight="1" x14ac:dyDescent="0.25">
      <c r="A24" s="52">
        <v>3</v>
      </c>
      <c r="B24" s="7" t="s">
        <v>56</v>
      </c>
      <c r="C24" s="10">
        <f>IF((C10/MAX(C8,C7/250))&gt;100000000,(C10/MAX(C8,C7/250)-100000000)*MAX(C8,C7/250)*1%,0)</f>
        <v>0</v>
      </c>
      <c r="D24" s="10">
        <f>IF((D10/MAX(D8,D7/250))&gt;100000000,(D10/MAX(D8,D7/250)-100000000)*MAX(D8,D7/250)*1%,0)</f>
        <v>0</v>
      </c>
      <c r="E24" s="7"/>
      <c r="F24" s="54"/>
      <c r="I24" s="29" t="s">
        <v>31</v>
      </c>
      <c r="J24" s="250" t="s">
        <v>32</v>
      </c>
      <c r="K24" s="251"/>
      <c r="L24" s="252"/>
      <c r="M24" s="31">
        <v>1850000</v>
      </c>
      <c r="N24" s="31">
        <v>1800000</v>
      </c>
      <c r="O24" s="31">
        <v>1600000</v>
      </c>
      <c r="P24" s="31">
        <v>1500000</v>
      </c>
      <c r="Q24" s="31">
        <v>1400000</v>
      </c>
      <c r="R24" s="31">
        <v>1300000</v>
      </c>
      <c r="S24" s="37">
        <f>MAX(IF($C$8&lt;1,M24*$C$8,IF($C$8&lt;2,N24*$C$8,IF($C$8&lt;5,O24*$C$8,IF($C$8&lt;10,P24*$C$8,IF($C$8&lt;20,Q24*$C$8,R24*$C$8))))),IF($C$7&lt;300,M30*$C$7,IF($C$7&lt;500,N30*$C$7,IF($C$7&lt;1500,O30*$C$7,IF($C$7&lt;5000,P30*$C$7,Q30*$C$7)))))</f>
        <v>52000000</v>
      </c>
    </row>
    <row r="25" spans="1:19" ht="19.5" customHeight="1" x14ac:dyDescent="0.25">
      <c r="A25" s="52">
        <v>4</v>
      </c>
      <c r="B25" s="7" t="s">
        <v>68</v>
      </c>
      <c r="C25" s="15"/>
      <c r="D25" s="15"/>
      <c r="E25" s="7"/>
      <c r="F25" s="60" t="s">
        <v>69</v>
      </c>
      <c r="I25" s="29" t="s">
        <v>35</v>
      </c>
      <c r="J25" s="253"/>
      <c r="K25" s="254"/>
      <c r="L25" s="255"/>
      <c r="M25" s="32">
        <v>2600000</v>
      </c>
      <c r="N25" s="32">
        <v>2300000</v>
      </c>
      <c r="O25" s="32">
        <v>2100000</v>
      </c>
      <c r="P25" s="32">
        <v>2000000</v>
      </c>
      <c r="Q25" s="32">
        <v>1900000</v>
      </c>
      <c r="R25" s="32">
        <v>1800000</v>
      </c>
      <c r="S25" s="37">
        <f>MAX(IF($C$8&lt;1,M25*$C$8,IF($C$8&lt;2,N25*$C$8,IF($C$8&lt;5,O25*$C$8,IF($C$8&lt;10,P25*$C$8,IF($C$8&lt;20,Q25*$C$8,R25*$C$8))))),IF($C$7&lt;300,M31*$C$7,IF($C$7&lt;500,N31*$C$7,IF($C$7&lt;1500,O31*$C$7,IF($C$7&lt;5000,P31*$C$7,Q31*$C$7)))))</f>
        <v>72000000</v>
      </c>
    </row>
    <row r="26" spans="1:19" ht="19.5" customHeight="1" x14ac:dyDescent="0.25">
      <c r="A26" s="52">
        <v>8</v>
      </c>
      <c r="B26" s="7" t="s">
        <v>70</v>
      </c>
      <c r="C26" s="15"/>
      <c r="D26" s="15"/>
      <c r="E26" s="7"/>
      <c r="F26" s="54"/>
      <c r="I26" s="29" t="s">
        <v>37</v>
      </c>
      <c r="J26" s="250" t="s">
        <v>38</v>
      </c>
      <c r="K26" s="251"/>
      <c r="L26" s="252"/>
      <c r="M26" s="31">
        <v>1450000</v>
      </c>
      <c r="N26" s="31">
        <v>1400000</v>
      </c>
      <c r="O26" s="31">
        <v>1300000</v>
      </c>
      <c r="P26" s="31">
        <v>1200000</v>
      </c>
      <c r="Q26" s="31">
        <v>1100000</v>
      </c>
      <c r="R26" s="31">
        <v>1000000</v>
      </c>
      <c r="S26" s="37">
        <f>MAX(IF($C$8&lt;1,M26*$C$8,IF($C$8&lt;2,N26*$C$8,IF($C$8&lt;5,O26*$C$8,IF($C$8&lt;10,P26*$C$8,IF($C$8&lt;20,Q26*$C$8,R26*$C$8))))),IF($C$7&lt;300,M32*$C$7,IF($C$7&lt;500,N32*$C$7,IF($C$7&lt;1500,O32*$C$7,IF($C$7&lt;5000,P32*$C$7,Q32*$C$7)))))</f>
        <v>40000000</v>
      </c>
    </row>
    <row r="27" spans="1:19" ht="19.5" customHeight="1" x14ac:dyDescent="0.25">
      <c r="A27" s="52">
        <v>5</v>
      </c>
      <c r="B27" s="7" t="s">
        <v>90</v>
      </c>
      <c r="C27" s="11">
        <v>5000000</v>
      </c>
      <c r="D27" s="11">
        <v>5000000</v>
      </c>
      <c r="E27" s="7" t="s">
        <v>30</v>
      </c>
      <c r="F27" s="54"/>
      <c r="I27" s="30" t="s">
        <v>40</v>
      </c>
      <c r="J27" s="256"/>
      <c r="K27" s="257"/>
      <c r="L27" s="258"/>
      <c r="M27" s="33">
        <v>2150000</v>
      </c>
      <c r="N27" s="33">
        <v>1900000</v>
      </c>
      <c r="O27" s="33">
        <v>1800000</v>
      </c>
      <c r="P27" s="33">
        <v>1700000</v>
      </c>
      <c r="Q27" s="33">
        <v>1600000</v>
      </c>
      <c r="R27" s="33">
        <v>1500000</v>
      </c>
      <c r="S27" s="37">
        <f>MAX(IF($C$8&lt;1,M27*$C$8,IF($C$8&lt;2,N27*$C$8,IF($C$8&lt;5,O27*$C$8,IF($C$8&lt;10,P27*$C$8,IF($C$8&lt;20,Q27*$C$8,R27*$C$8))))),IF($C$7&lt;300,M33*$C$7,IF($C$7&lt;500,N33*$C$7,IF($C$7&lt;1500,O33*$C$7,IF($C$7&lt;5000,P33*$C$7,Q33*$C$7)))))</f>
        <v>60000000</v>
      </c>
    </row>
    <row r="28" spans="1:19" ht="19.5" customHeight="1" x14ac:dyDescent="0.25">
      <c r="A28" s="52">
        <v>6</v>
      </c>
      <c r="B28" s="7" t="s">
        <v>91</v>
      </c>
      <c r="C28" s="10">
        <f>C19*C12%+(C19+C19*C12%)*C13%</f>
        <v>19170313.349999998</v>
      </c>
      <c r="D28" s="10">
        <f>D19*D12%+(D19+D19*D12%)*D13%</f>
        <v>17160250.68</v>
      </c>
      <c r="E28" s="7"/>
      <c r="F28" s="54"/>
      <c r="I28" s="23" t="s">
        <v>73</v>
      </c>
      <c r="J28" s="23"/>
      <c r="K28" s="23"/>
      <c r="L28" s="23"/>
      <c r="M28" s="24" t="s">
        <v>19</v>
      </c>
      <c r="N28" s="24" t="s">
        <v>19</v>
      </c>
      <c r="O28" s="24" t="s">
        <v>19</v>
      </c>
      <c r="P28" s="24" t="s">
        <v>19</v>
      </c>
      <c r="Q28" s="24" t="s">
        <v>19</v>
      </c>
      <c r="R28" s="24" t="s">
        <v>19</v>
      </c>
      <c r="S28" s="24" t="s">
        <v>19</v>
      </c>
    </row>
    <row r="29" spans="1:19" ht="22.5" customHeight="1" x14ac:dyDescent="0.25">
      <c r="A29" s="52">
        <v>7</v>
      </c>
      <c r="B29" s="7" t="s">
        <v>92</v>
      </c>
      <c r="C29" s="10">
        <f>(C19+C19*C12%+(C19+C19*C12%)*C13%)*C11%</f>
        <v>11757792.187999999</v>
      </c>
      <c r="D29" s="10">
        <f>(D19+D19*D12%+(D19+D19*D12%)*D13%)*D11%</f>
        <v>10524953.750399999</v>
      </c>
      <c r="E29" s="7" t="s">
        <v>30</v>
      </c>
      <c r="F29" s="54"/>
      <c r="I29" s="25" t="s">
        <v>75</v>
      </c>
      <c r="J29" s="261" t="s">
        <v>23</v>
      </c>
      <c r="K29" s="261"/>
      <c r="L29" s="262"/>
      <c r="M29" s="26" t="s">
        <v>76</v>
      </c>
      <c r="N29" s="27" t="s">
        <v>77</v>
      </c>
      <c r="O29" s="27" t="s">
        <v>78</v>
      </c>
      <c r="P29" s="27" t="s">
        <v>79</v>
      </c>
      <c r="Q29" s="27" t="s">
        <v>80</v>
      </c>
      <c r="R29" s="28"/>
    </row>
    <row r="30" spans="1:19" ht="22.5" customHeight="1" x14ac:dyDescent="0.25">
      <c r="A30" s="56"/>
      <c r="B30" s="57" t="s">
        <v>93</v>
      </c>
      <c r="C30" s="58" t="s">
        <v>94</v>
      </c>
      <c r="D30" s="58" t="s">
        <v>95</v>
      </c>
      <c r="E30" s="58"/>
      <c r="F30" s="59"/>
      <c r="I30" s="29" t="s">
        <v>48</v>
      </c>
      <c r="J30" s="250" t="s">
        <v>32</v>
      </c>
      <c r="K30" s="251"/>
      <c r="L30" s="252"/>
      <c r="M30" s="31">
        <v>9000</v>
      </c>
      <c r="N30" s="31">
        <v>8000</v>
      </c>
      <c r="O30" s="31">
        <v>7000</v>
      </c>
      <c r="P30" s="31">
        <v>6000</v>
      </c>
      <c r="Q30" s="31">
        <v>5000</v>
      </c>
      <c r="R30" s="31"/>
    </row>
    <row r="31" spans="1:19" ht="22.5" customHeight="1" x14ac:dyDescent="0.25">
      <c r="A31" s="61"/>
      <c r="B31" s="12" t="s">
        <v>96</v>
      </c>
      <c r="C31" s="13">
        <f>SUM(C22:C28)-C26</f>
        <v>84970313.349999994</v>
      </c>
      <c r="D31" s="13">
        <f>SUM(D22:D28)-D26</f>
        <v>82960250.680000007</v>
      </c>
      <c r="E31" s="12" t="s">
        <v>30</v>
      </c>
      <c r="F31" s="62"/>
      <c r="I31" s="29" t="s">
        <v>51</v>
      </c>
      <c r="J31" s="253"/>
      <c r="K31" s="254"/>
      <c r="L31" s="255"/>
      <c r="M31" s="32">
        <v>12500</v>
      </c>
      <c r="N31" s="32">
        <v>11500</v>
      </c>
      <c r="O31" s="32">
        <v>10500</v>
      </c>
      <c r="P31" s="32">
        <v>9500</v>
      </c>
      <c r="Q31" s="32">
        <v>8500</v>
      </c>
      <c r="R31" s="32"/>
    </row>
    <row r="32" spans="1:19" ht="38.25" customHeight="1" x14ac:dyDescent="0.25">
      <c r="A32" s="61"/>
      <c r="B32" s="12" t="s">
        <v>97</v>
      </c>
      <c r="C32" s="13">
        <f>C29+C27*C11%</f>
        <v>12157792.187999999</v>
      </c>
      <c r="D32" s="13">
        <f>D29+D27*D11%</f>
        <v>10924953.750399999</v>
      </c>
      <c r="E32" s="12" t="s">
        <v>30</v>
      </c>
      <c r="F32" s="62"/>
      <c r="I32" s="29" t="s">
        <v>53</v>
      </c>
      <c r="J32" s="250" t="s">
        <v>38</v>
      </c>
      <c r="K32" s="251"/>
      <c r="L32" s="252"/>
      <c r="M32" s="31">
        <v>9000</v>
      </c>
      <c r="N32" s="31">
        <v>8000</v>
      </c>
      <c r="O32" s="31">
        <v>7000</v>
      </c>
      <c r="P32" s="31">
        <v>6000</v>
      </c>
      <c r="Q32" s="31">
        <v>5000</v>
      </c>
      <c r="R32" s="31"/>
    </row>
    <row r="33" spans="1:20" ht="33.75" customHeight="1" x14ac:dyDescent="0.25">
      <c r="A33" s="76"/>
      <c r="B33" s="77" t="s">
        <v>99</v>
      </c>
      <c r="C33" s="78">
        <f>C19+C28+C27</f>
        <v>151972402.34999999</v>
      </c>
      <c r="D33" s="78">
        <f>D19+D28+D27</f>
        <v>136561921.88</v>
      </c>
      <c r="E33" s="77" t="s">
        <v>30</v>
      </c>
      <c r="F33" s="79"/>
      <c r="I33" s="30" t="s">
        <v>55</v>
      </c>
      <c r="J33" s="256"/>
      <c r="K33" s="257"/>
      <c r="L33" s="258"/>
      <c r="M33" s="33">
        <v>12500</v>
      </c>
      <c r="N33" s="33">
        <v>11500</v>
      </c>
      <c r="O33" s="33">
        <v>10500</v>
      </c>
      <c r="P33" s="33">
        <v>9500</v>
      </c>
      <c r="Q33" s="33">
        <v>8500</v>
      </c>
      <c r="R33" s="33"/>
    </row>
    <row r="34" spans="1:20" ht="30" x14ac:dyDescent="0.25">
      <c r="A34" s="80"/>
      <c r="B34" s="81"/>
      <c r="C34" s="82" t="s">
        <v>111</v>
      </c>
      <c r="D34" s="83" t="s">
        <v>112</v>
      </c>
      <c r="E34" s="82" t="s">
        <v>113</v>
      </c>
      <c r="F34" s="86" t="s">
        <v>114</v>
      </c>
      <c r="Q34" s="3"/>
      <c r="R34" s="3"/>
      <c r="S34" s="3"/>
    </row>
    <row r="35" spans="1:20" x14ac:dyDescent="0.25">
      <c r="A35" s="80"/>
      <c r="B35" s="81"/>
      <c r="C35" s="83">
        <f>(C33-D33)*0.2</f>
        <v>3082096.094</v>
      </c>
      <c r="D35" s="83">
        <f>C32-D32</f>
        <v>1232838.4375999998</v>
      </c>
      <c r="E35" s="84">
        <f>C31-D31</f>
        <v>2010062.6699999869</v>
      </c>
      <c r="F35" s="85">
        <f>D35+E35-C35</f>
        <v>160805.01359998668</v>
      </c>
    </row>
    <row r="36" spans="1:20" x14ac:dyDescent="0.25">
      <c r="A36" s="263" t="s">
        <v>72</v>
      </c>
      <c r="B36" s="264"/>
      <c r="C36" s="264"/>
      <c r="D36" s="264"/>
      <c r="E36" s="264"/>
      <c r="F36" s="265"/>
      <c r="I36" s="47"/>
      <c r="J36" s="47"/>
    </row>
    <row r="37" spans="1:20" ht="30" x14ac:dyDescent="0.25">
      <c r="A37" s="52">
        <v>1</v>
      </c>
      <c r="B37" s="7" t="s">
        <v>74</v>
      </c>
      <c r="C37" s="42">
        <v>75000000</v>
      </c>
      <c r="D37" s="42">
        <v>75000000</v>
      </c>
      <c r="E37" s="7"/>
      <c r="F37" s="60" t="str">
        <f>"KH chuyển khoản cho Eureka thanh toán hộ cho nhà cung cấp số tiền "&amp;C37</f>
        <v>KH chuyển khoản cho Eureka thanh toán hộ cho nhà cung cấp số tiền 75000000</v>
      </c>
      <c r="I37" s="47"/>
    </row>
    <row r="38" spans="1:20" ht="88.5" customHeight="1" x14ac:dyDescent="0.25">
      <c r="A38" s="52">
        <v>2</v>
      </c>
      <c r="B38" s="14" t="s">
        <v>81</v>
      </c>
      <c r="C38" s="43">
        <f>C33-C37</f>
        <v>76972402.349999994</v>
      </c>
      <c r="D38" s="43">
        <f>D33-D37</f>
        <v>61561921.879999995</v>
      </c>
      <c r="E38" s="7"/>
      <c r="F38" s="60" t="str">
        <f>IF(C38&gt;0,"KH chuyển khoản vào tài khoản công ty số tiền "&amp;C38,"Khách hàng đang còn thừa công nợ trên sổ sách số tiền "&amp;-C38)</f>
        <v>KH chuyển khoản vào tài khoản công ty số tiền 76972402,35</v>
      </c>
      <c r="Q38" s="4"/>
      <c r="R38" s="4"/>
      <c r="S38" s="4"/>
    </row>
    <row r="39" spans="1:20" ht="45" x14ac:dyDescent="0.25">
      <c r="A39" s="66">
        <v>3</v>
      </c>
      <c r="B39" s="67" t="s">
        <v>82</v>
      </c>
      <c r="C39" s="68">
        <f>IF(C38&gt;0,C38,"Khách hàng đang còn thừa công nợ trên sổ sách số tiền "&amp;-C38)</f>
        <v>76972402.349999994</v>
      </c>
      <c r="D39" s="68">
        <f>IF(D38&gt;0,D38,"Khách hàng đang còn thừa công nợ trên sổ sách số tiền "&amp;-D38)</f>
        <v>61561921.879999995</v>
      </c>
      <c r="E39" s="67"/>
      <c r="F39" s="69" t="str">
        <f>IF(C39&lt;0,"Hoàn trả khách hàng số tiền "&amp;-C39&amp;" Qua tài khoản khách hàng cung cấp",IF(C38&lt;0,C39," Khách hàng chuyển trả thêm Eureka số tiền "&amp;C39&amp; " Qua tài khoản kế toán Eureka cung cấp"))</f>
        <v xml:space="preserve"> Khách hàng chuyển trả thêm Eureka số tiền 76972402,35 Qua tài khoản kế toán Eureka cung cấp</v>
      </c>
      <c r="I39" s="47"/>
      <c r="J39" s="47"/>
      <c r="K39" s="47"/>
    </row>
    <row r="40" spans="1:20" ht="60" x14ac:dyDescent="0.25">
      <c r="C40" t="s">
        <v>106</v>
      </c>
      <c r="D40" s="70" t="s">
        <v>107</v>
      </c>
      <c r="I40" s="47"/>
      <c r="K40" s="44"/>
    </row>
    <row r="42" spans="1:20" x14ac:dyDescent="0.25">
      <c r="Q42" s="5"/>
      <c r="R42" s="5"/>
      <c r="S42" s="6"/>
    </row>
    <row r="43" spans="1:20" x14ac:dyDescent="0.25">
      <c r="T43" s="2"/>
    </row>
    <row r="44" spans="1:20" x14ac:dyDescent="0.25">
      <c r="I44" s="1"/>
      <c r="J44" s="1"/>
      <c r="K44" s="1"/>
    </row>
    <row r="45" spans="1:20" x14ac:dyDescent="0.25">
      <c r="I45" s="1"/>
      <c r="J45" s="1"/>
      <c r="K45" s="1"/>
    </row>
    <row r="46" spans="1:20" x14ac:dyDescent="0.25">
      <c r="I46" s="1"/>
      <c r="J46" s="1"/>
      <c r="K46" s="1"/>
    </row>
    <row r="47" spans="1:20" x14ac:dyDescent="0.25">
      <c r="I47" s="1"/>
      <c r="J47" s="1"/>
      <c r="K47" s="45"/>
    </row>
    <row r="48" spans="1:20" x14ac:dyDescent="0.25">
      <c r="I48" s="1"/>
      <c r="J48" s="1"/>
      <c r="K48" s="1"/>
    </row>
    <row r="49" spans="9:11" x14ac:dyDescent="0.25">
      <c r="I49" s="1"/>
      <c r="J49" s="1"/>
      <c r="K49" s="1"/>
    </row>
  </sheetData>
  <mergeCells count="17">
    <mergeCell ref="A2:F2"/>
    <mergeCell ref="I7:P7"/>
    <mergeCell ref="J8:K8"/>
    <mergeCell ref="J9:K10"/>
    <mergeCell ref="J11:K12"/>
    <mergeCell ref="J29:L29"/>
    <mergeCell ref="J30:L31"/>
    <mergeCell ref="J32:L33"/>
    <mergeCell ref="A36:F36"/>
    <mergeCell ref="C5:D5"/>
    <mergeCell ref="J15:K16"/>
    <mergeCell ref="J17:K18"/>
    <mergeCell ref="I22:P22"/>
    <mergeCell ref="J23:L23"/>
    <mergeCell ref="J24:L25"/>
    <mergeCell ref="J26:L27"/>
    <mergeCell ref="J14:K14"/>
  </mergeCells>
  <dataValidations count="4">
    <dataValidation type="list" allowBlank="1" showInputMessage="1" showErrorMessage="1" sqref="C16:D16" xr:uid="{69A0CC27-170F-4F41-8E1B-49D49E63C8A2}">
      <formula1>"Hà Nội,Hồ Chí Minh"</formula1>
    </dataValidation>
    <dataValidation type="list" allowBlank="1" showInputMessage="1" showErrorMessage="1" sqref="C15:D15" xr:uid="{21000DF8-727E-4EEA-A3E1-33DE3003BC95}">
      <formula1>"Quảng Châu,Bằng Tường"</formula1>
    </dataValidation>
    <dataValidation type="list" allowBlank="1" showInputMessage="1" showErrorMessage="1" sqref="I4 C14:D14" xr:uid="{D2796D84-0B57-46E0-B2DB-E9377C47335E}">
      <formula1>"Bộ,Biển"</formula1>
    </dataValidation>
    <dataValidation type="list" allowBlank="1" showInputMessage="1" showErrorMessage="1" sqref="C4:D4" xr:uid="{E14DE524-2CAA-4253-BDF8-CF0C575C5A2D}">
      <formula1>"Elite,Premium,Pro,Basic"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D72C-D327-498B-8A9C-F0C997CF4CDD}">
  <dimension ref="A2:T49"/>
  <sheetViews>
    <sheetView showGridLines="0" topLeftCell="A9" workbookViewId="0">
      <selection activeCell="D13" sqref="D13"/>
    </sheetView>
  </sheetViews>
  <sheetFormatPr defaultRowHeight="15" x14ac:dyDescent="0.25"/>
  <cols>
    <col min="1" max="1" width="4.42578125" customWidth="1"/>
    <col min="2" max="2" width="33.5703125" customWidth="1"/>
    <col min="3" max="4" width="15.5703125" customWidth="1"/>
    <col min="5" max="5" width="12" customWidth="1"/>
    <col min="6" max="6" width="38.140625" customWidth="1"/>
    <col min="7" max="7" width="9.140625" customWidth="1"/>
    <col min="8" max="8" width="14.28515625" customWidth="1"/>
    <col min="9" max="9" width="22" customWidth="1"/>
    <col min="10" max="11" width="16.140625" customWidth="1"/>
    <col min="12" max="16" width="12.28515625" customWidth="1"/>
    <col min="17" max="21" width="9.140625" customWidth="1"/>
  </cols>
  <sheetData>
    <row r="2" spans="1:19" ht="27.75" customHeight="1" x14ac:dyDescent="0.25">
      <c r="A2" s="266" t="s">
        <v>0</v>
      </c>
      <c r="B2" s="267"/>
      <c r="C2" s="267"/>
      <c r="D2" s="267"/>
      <c r="E2" s="267"/>
      <c r="F2" s="268"/>
      <c r="I2" s="8"/>
      <c r="J2" t="s">
        <v>1</v>
      </c>
    </row>
    <row r="3" spans="1:19" ht="78.75" customHeight="1" x14ac:dyDescent="0.25">
      <c r="A3" s="72"/>
      <c r="C3" s="75" t="s">
        <v>83</v>
      </c>
      <c r="D3" s="75" t="s">
        <v>115</v>
      </c>
      <c r="E3" s="73"/>
      <c r="F3" s="74"/>
      <c r="I3" s="8"/>
    </row>
    <row r="4" spans="1:19" ht="27.75" customHeight="1" x14ac:dyDescent="0.25">
      <c r="A4" s="48"/>
      <c r="B4" s="39" t="s">
        <v>2</v>
      </c>
      <c r="C4" s="40" t="s">
        <v>3</v>
      </c>
      <c r="D4" s="40"/>
      <c r="E4" s="39"/>
      <c r="F4" s="49"/>
      <c r="I4" s="9"/>
      <c r="J4" t="s">
        <v>4</v>
      </c>
    </row>
    <row r="5" spans="1:19" x14ac:dyDescent="0.25">
      <c r="A5" s="50">
        <v>1</v>
      </c>
      <c r="B5" s="41" t="s">
        <v>5</v>
      </c>
      <c r="C5" s="274" t="s">
        <v>6</v>
      </c>
      <c r="D5" s="275"/>
      <c r="E5" s="41" t="s">
        <v>7</v>
      </c>
      <c r="F5" s="51" t="s">
        <v>8</v>
      </c>
      <c r="G5" s="1" t="s">
        <v>9</v>
      </c>
      <c r="H5" s="1" t="s">
        <v>10</v>
      </c>
      <c r="I5" s="1" t="s">
        <v>11</v>
      </c>
      <c r="J5" s="1">
        <v>500000</v>
      </c>
    </row>
    <row r="6" spans="1:19" x14ac:dyDescent="0.25">
      <c r="A6" s="52">
        <v>2</v>
      </c>
      <c r="B6" s="7" t="s">
        <v>12</v>
      </c>
      <c r="C6" s="8">
        <v>2</v>
      </c>
      <c r="D6" s="8">
        <f>C6</f>
        <v>2</v>
      </c>
      <c r="E6" s="7" t="s">
        <v>13</v>
      </c>
      <c r="F6" s="53"/>
      <c r="H6" s="1"/>
      <c r="I6" s="1" t="s">
        <v>14</v>
      </c>
      <c r="J6" s="1">
        <v>400000</v>
      </c>
    </row>
    <row r="7" spans="1:19" ht="15.75" x14ac:dyDescent="0.25">
      <c r="A7" s="52">
        <v>3</v>
      </c>
      <c r="B7" s="7" t="s">
        <v>15</v>
      </c>
      <c r="C7" s="8">
        <v>476.52</v>
      </c>
      <c r="D7" s="8">
        <f t="shared" ref="D7:D13" si="0">C7</f>
        <v>476.52</v>
      </c>
      <c r="E7" s="7" t="s">
        <v>16</v>
      </c>
      <c r="F7" s="54"/>
      <c r="H7" s="1" t="s">
        <v>17</v>
      </c>
      <c r="I7" s="272" t="s">
        <v>18</v>
      </c>
      <c r="J7" s="272"/>
      <c r="K7" s="272"/>
      <c r="L7" s="272"/>
      <c r="M7" s="272"/>
      <c r="N7" s="272"/>
      <c r="O7" s="272"/>
      <c r="P7" s="272"/>
      <c r="Q7" s="17" t="s">
        <v>19</v>
      </c>
      <c r="R7" s="17" t="s">
        <v>19</v>
      </c>
      <c r="S7" s="17" t="s">
        <v>19</v>
      </c>
    </row>
    <row r="8" spans="1:19" ht="19.5" customHeight="1" x14ac:dyDescent="0.25">
      <c r="A8" s="52">
        <v>4</v>
      </c>
      <c r="B8" s="7" t="s">
        <v>20</v>
      </c>
      <c r="C8" s="8">
        <v>2.8</v>
      </c>
      <c r="D8" s="8">
        <f t="shared" si="0"/>
        <v>2.8</v>
      </c>
      <c r="E8" s="7" t="s">
        <v>21</v>
      </c>
      <c r="F8" s="54"/>
      <c r="I8" s="18" t="s">
        <v>22</v>
      </c>
      <c r="J8" s="269" t="s">
        <v>23</v>
      </c>
      <c r="K8" s="269"/>
      <c r="L8" s="20" t="s">
        <v>24</v>
      </c>
      <c r="M8" s="19" t="s">
        <v>25</v>
      </c>
      <c r="N8" s="19" t="s">
        <v>26</v>
      </c>
      <c r="O8" s="19" t="s">
        <v>27</v>
      </c>
      <c r="P8" s="34" t="s">
        <v>28</v>
      </c>
    </row>
    <row r="9" spans="1:19" ht="32.25" customHeight="1" x14ac:dyDescent="0.25">
      <c r="A9" s="52"/>
      <c r="B9" s="7" t="s">
        <v>109</v>
      </c>
      <c r="C9" s="16">
        <v>67002089</v>
      </c>
      <c r="D9" s="16">
        <f>C9</f>
        <v>67002089</v>
      </c>
      <c r="E9" s="7"/>
      <c r="F9" s="54" t="s">
        <v>110</v>
      </c>
      <c r="I9" s="21" t="s">
        <v>31</v>
      </c>
      <c r="J9" s="250" t="s">
        <v>32</v>
      </c>
      <c r="K9" s="252"/>
      <c r="L9" s="31">
        <v>1850000</v>
      </c>
      <c r="M9" s="31">
        <v>1665000</v>
      </c>
      <c r="N9" s="31">
        <v>1480000</v>
      </c>
      <c r="O9" s="31">
        <v>1295000</v>
      </c>
      <c r="P9" s="46">
        <f>MAX(IF($C$4="basic",L15*$C$7,IF($C$4="pro",M15*$C$7,IF($C$4="Premium",N15*$C$7,O15*$C$7))),IF($C$4="basic",L9*$C$8,IF($C$4="pro",M9*$C$8,IF($C$4="Premium",N9*$C$8,O9*$C$8))))</f>
        <v>4662000</v>
      </c>
    </row>
    <row r="10" spans="1:19" ht="33" customHeight="1" x14ac:dyDescent="0.25">
      <c r="A10" s="52">
        <v>5</v>
      </c>
      <c r="B10" s="14" t="s">
        <v>29</v>
      </c>
      <c r="C10" s="88">
        <v>67002089</v>
      </c>
      <c r="D10" s="88">
        <f>D9*F10</f>
        <v>60301880.100000001</v>
      </c>
      <c r="E10" s="7" t="s">
        <v>30</v>
      </c>
      <c r="F10" s="87">
        <v>0.9</v>
      </c>
      <c r="I10" s="21" t="s">
        <v>35</v>
      </c>
      <c r="J10" s="270"/>
      <c r="K10" s="271"/>
      <c r="L10" s="32">
        <v>2600000</v>
      </c>
      <c r="M10" s="32">
        <v>2340000</v>
      </c>
      <c r="N10" s="32">
        <v>2080000</v>
      </c>
      <c r="O10" s="32">
        <v>1820000</v>
      </c>
      <c r="P10" s="46">
        <f>MAX(IF($C$4="basic",L16*$C$7,IF($C$4="pro",M16*$C$7,IF($C$4="Premium",N16*$C$7,O16*$C$7))),IF($C$4="basic",L10*$C$8,IF($C$4="pro",M10*$C$8,IF($C$4="Premium",N10*$C$8,O10*$C$8))))</f>
        <v>6552000</v>
      </c>
    </row>
    <row r="11" spans="1:19" ht="19.5" customHeight="1" x14ac:dyDescent="0.25">
      <c r="A11" s="52">
        <v>6</v>
      </c>
      <c r="B11" s="7" t="s">
        <v>33</v>
      </c>
      <c r="C11" s="8">
        <v>8</v>
      </c>
      <c r="D11" s="8">
        <f t="shared" si="0"/>
        <v>8</v>
      </c>
      <c r="E11" s="7" t="s">
        <v>34</v>
      </c>
      <c r="F11" s="54"/>
      <c r="I11" s="21" t="s">
        <v>37</v>
      </c>
      <c r="J11" s="250" t="s">
        <v>38</v>
      </c>
      <c r="K11" s="252"/>
      <c r="L11" s="31">
        <v>1450000</v>
      </c>
      <c r="M11" s="31">
        <v>1305000</v>
      </c>
      <c r="N11" s="31">
        <v>1160000</v>
      </c>
      <c r="O11" s="31">
        <v>1015000</v>
      </c>
      <c r="P11" s="46">
        <f>MAX(IF($C$4="basic",L17*$C$7,IF($C$4="pro",M17*$C$7,IF($C$4="Premium",N17*$C$7,O17*$C$7))),IF($C$4="basic",L11*$C$8,IF($C$4="pro",M11*$C$8,IF($C$4="Premium",N11*$C$8,O11*$C$8))))</f>
        <v>3859812</v>
      </c>
    </row>
    <row r="12" spans="1:19" ht="19.5" customHeight="1" x14ac:dyDescent="0.25">
      <c r="A12" s="52">
        <v>7</v>
      </c>
      <c r="B12" s="7" t="s">
        <v>36</v>
      </c>
      <c r="C12" s="8">
        <v>15</v>
      </c>
      <c r="D12" s="8">
        <f t="shared" si="0"/>
        <v>15</v>
      </c>
      <c r="E12" s="7" t="s">
        <v>34</v>
      </c>
      <c r="F12" s="54"/>
      <c r="I12" s="22" t="s">
        <v>40</v>
      </c>
      <c r="J12" s="259"/>
      <c r="K12" s="260"/>
      <c r="L12" s="33">
        <v>2150000</v>
      </c>
      <c r="M12" s="33">
        <v>1935000</v>
      </c>
      <c r="N12" s="33">
        <v>1720000</v>
      </c>
      <c r="O12" s="33">
        <v>1505000</v>
      </c>
      <c r="P12" s="46">
        <f>MAX(IF($C$4="basic",L18*$C$7,IF($C$4="pro",M18*$C$7,IF($C$4="Premium",N18*$C$7,O18*$C$7))),IF($C$4="basic",L12*$C$8,IF($C$4="pro",M12*$C$8,IF($C$4="Premium",N12*$C$8,O12*$C$8))))</f>
        <v>5418000</v>
      </c>
    </row>
    <row r="13" spans="1:19" ht="19.5" customHeight="1" x14ac:dyDescent="0.25">
      <c r="A13" s="52">
        <v>8</v>
      </c>
      <c r="B13" s="7" t="s">
        <v>39</v>
      </c>
      <c r="C13" s="8">
        <v>0</v>
      </c>
      <c r="D13" s="8">
        <f t="shared" si="0"/>
        <v>0</v>
      </c>
      <c r="E13" s="7" t="s">
        <v>34</v>
      </c>
      <c r="F13" s="54"/>
      <c r="I13" s="38" t="s">
        <v>42</v>
      </c>
      <c r="J13" s="23"/>
      <c r="K13" s="23"/>
      <c r="L13" s="23"/>
      <c r="M13" s="24" t="s">
        <v>19</v>
      </c>
      <c r="N13" s="24" t="s">
        <v>19</v>
      </c>
      <c r="O13" s="24" t="s">
        <v>19</v>
      </c>
      <c r="P13" s="35"/>
    </row>
    <row r="14" spans="1:19" ht="29.25" customHeight="1" x14ac:dyDescent="0.25">
      <c r="A14" s="52">
        <v>9</v>
      </c>
      <c r="B14" s="7" t="s">
        <v>41</v>
      </c>
      <c r="C14" s="9" t="s">
        <v>14</v>
      </c>
      <c r="D14" s="9" t="s">
        <v>14</v>
      </c>
      <c r="E14" s="7"/>
      <c r="F14" s="53"/>
      <c r="I14" s="18" t="s">
        <v>45</v>
      </c>
      <c r="J14" s="269" t="s">
        <v>23</v>
      </c>
      <c r="K14" s="269"/>
      <c r="L14" s="20" t="s">
        <v>24</v>
      </c>
      <c r="M14" s="19" t="s">
        <v>25</v>
      </c>
      <c r="N14" s="19" t="s">
        <v>26</v>
      </c>
      <c r="O14" s="19" t="s">
        <v>27</v>
      </c>
    </row>
    <row r="15" spans="1:19" ht="19.5" customHeight="1" x14ac:dyDescent="0.25">
      <c r="A15" s="52">
        <v>10</v>
      </c>
      <c r="B15" s="7" t="s">
        <v>43</v>
      </c>
      <c r="C15" s="9" t="s">
        <v>85</v>
      </c>
      <c r="D15" s="9" t="s">
        <v>85</v>
      </c>
      <c r="E15" s="7"/>
      <c r="F15" s="55"/>
      <c r="I15" s="21" t="s">
        <v>48</v>
      </c>
      <c r="J15" s="250" t="s">
        <v>32</v>
      </c>
      <c r="K15" s="252"/>
      <c r="L15" s="31">
        <v>9000</v>
      </c>
      <c r="M15" s="31">
        <v>8100</v>
      </c>
      <c r="N15" s="31">
        <v>7200</v>
      </c>
      <c r="O15" s="31">
        <v>6300</v>
      </c>
    </row>
    <row r="16" spans="1:19" ht="19.5" customHeight="1" x14ac:dyDescent="0.25">
      <c r="A16" s="52">
        <v>11</v>
      </c>
      <c r="B16" s="7" t="s">
        <v>46</v>
      </c>
      <c r="C16" s="9" t="s">
        <v>86</v>
      </c>
      <c r="D16" s="9" t="s">
        <v>86</v>
      </c>
      <c r="E16" s="7"/>
      <c r="F16" s="54"/>
      <c r="I16" s="21" t="s">
        <v>51</v>
      </c>
      <c r="J16" s="270"/>
      <c r="K16" s="271"/>
      <c r="L16" s="32">
        <v>12500</v>
      </c>
      <c r="M16" s="32">
        <v>11250</v>
      </c>
      <c r="N16" s="32">
        <v>10000</v>
      </c>
      <c r="O16" s="32">
        <v>8750</v>
      </c>
    </row>
    <row r="17" spans="1:19" ht="36" customHeight="1" x14ac:dyDescent="0.25">
      <c r="A17" s="52">
        <v>12</v>
      </c>
      <c r="B17" s="7" t="s">
        <v>49</v>
      </c>
      <c r="C17" s="36">
        <f>IF(C15="Quảng Châu",IF(C16="Hà Nội",$P$9,$P$10),IF(C15="Bằng Tường",IF(C16="Hà Nội",$P$11,$P$12)))</f>
        <v>5418000</v>
      </c>
      <c r="D17" s="36">
        <f>IF(D15="Quảng Châu",IF(D16="Hà Nội",$P$9,$P$10),IF(D15="Bằng Tường",IF(D16="Hà Nội",$P$11,$P$12)))</f>
        <v>5418000</v>
      </c>
      <c r="E17" s="7" t="s">
        <v>50</v>
      </c>
      <c r="F17" s="54"/>
      <c r="I17" s="21" t="s">
        <v>53</v>
      </c>
      <c r="J17" s="250" t="s">
        <v>38</v>
      </c>
      <c r="K17" s="252"/>
      <c r="L17" s="31">
        <v>9000</v>
      </c>
      <c r="M17" s="31">
        <v>8100</v>
      </c>
      <c r="N17" s="31">
        <v>7200</v>
      </c>
      <c r="O17" s="31">
        <v>6300</v>
      </c>
    </row>
    <row r="18" spans="1:19" ht="19.5" customHeight="1" x14ac:dyDescent="0.25">
      <c r="A18" s="52">
        <v>13</v>
      </c>
      <c r="B18" s="14" t="s">
        <v>52</v>
      </c>
      <c r="C18" s="36">
        <f>IF(C15="Quảng Châu",IF(C16="Hà Nội",$S$24,$S$25),IF(C15="Bằng Tường",IF(C16="Hà Nội",$S$26,$S$27)))</f>
        <v>5479980</v>
      </c>
      <c r="D18" s="36">
        <f>IF(D15="Quảng Châu",IF(D16="Hà Nội",$S$24,$S$25),IF(D15="Bằng Tường",IF(D16="Hà Nội",$S$26,$S$27)))</f>
        <v>5479980</v>
      </c>
      <c r="E18" s="7" t="s">
        <v>30</v>
      </c>
      <c r="F18" s="54"/>
      <c r="I18" s="22" t="s">
        <v>55</v>
      </c>
      <c r="J18" s="259"/>
      <c r="K18" s="260"/>
      <c r="L18" s="33">
        <v>12500</v>
      </c>
      <c r="M18" s="33">
        <v>11250</v>
      </c>
      <c r="N18" s="33">
        <v>10000</v>
      </c>
      <c r="O18" s="33">
        <v>8750</v>
      </c>
    </row>
    <row r="19" spans="1:19" ht="19.5" customHeight="1" x14ac:dyDescent="0.25">
      <c r="A19" s="63"/>
      <c r="B19" s="70" t="s">
        <v>87</v>
      </c>
      <c r="C19" s="71">
        <f>C10+C22+C23+C24+C25-C26</f>
        <v>73220089</v>
      </c>
      <c r="D19" s="71">
        <f>D10</f>
        <v>60301880.100000001</v>
      </c>
      <c r="F19" s="65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9.5" customHeight="1" x14ac:dyDescent="0.25">
      <c r="A20" s="63"/>
      <c r="C20" s="71"/>
      <c r="D20" s="71"/>
      <c r="F20" s="65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9.5" customHeight="1" x14ac:dyDescent="0.25">
      <c r="A21" s="56"/>
      <c r="B21" s="57" t="s">
        <v>54</v>
      </c>
      <c r="C21" s="58"/>
      <c r="D21" s="58"/>
      <c r="E21" s="58"/>
      <c r="F21" s="59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9.5" customHeight="1" x14ac:dyDescent="0.25">
      <c r="A22" s="52">
        <v>1</v>
      </c>
      <c r="B22" s="7" t="s">
        <v>88</v>
      </c>
      <c r="C22" s="10">
        <f>IF(C14=$I$6,$J$6*C6,$J$5*C6)</f>
        <v>800000</v>
      </c>
      <c r="D22" s="10">
        <f>IF(D14=$I$6,$J$6*D6,$J$5*D6)</f>
        <v>800000</v>
      </c>
      <c r="E22" s="7" t="s">
        <v>30</v>
      </c>
      <c r="F22" s="54"/>
      <c r="I22" s="273" t="s">
        <v>58</v>
      </c>
      <c r="J22" s="273"/>
      <c r="K22" s="273"/>
      <c r="L22" s="273"/>
      <c r="M22" s="273"/>
      <c r="N22" s="273"/>
      <c r="O22" s="273"/>
      <c r="P22" s="273"/>
      <c r="Q22" s="24" t="s">
        <v>19</v>
      </c>
      <c r="R22" s="24" t="s">
        <v>19</v>
      </c>
      <c r="S22" s="24" t="s">
        <v>19</v>
      </c>
    </row>
    <row r="23" spans="1:19" ht="19.5" customHeight="1" x14ac:dyDescent="0.25">
      <c r="A23" s="52">
        <v>2</v>
      </c>
      <c r="B23" s="7" t="s">
        <v>89</v>
      </c>
      <c r="C23" s="10">
        <f>MIN(C17:C18)</f>
        <v>5418000</v>
      </c>
      <c r="D23" s="10">
        <f>MIN(D17:D18)</f>
        <v>5418000</v>
      </c>
      <c r="E23" s="7" t="s">
        <v>30</v>
      </c>
      <c r="F23" s="54"/>
      <c r="I23" s="25" t="s">
        <v>60</v>
      </c>
      <c r="J23" s="261" t="s">
        <v>23</v>
      </c>
      <c r="K23" s="261"/>
      <c r="L23" s="262"/>
      <c r="M23" s="27" t="s">
        <v>61</v>
      </c>
      <c r="N23" s="27" t="s">
        <v>62</v>
      </c>
      <c r="O23" s="27" t="s">
        <v>63</v>
      </c>
      <c r="P23" s="27" t="s">
        <v>64</v>
      </c>
      <c r="Q23" s="27" t="s">
        <v>65</v>
      </c>
      <c r="R23" s="27" t="s">
        <v>66</v>
      </c>
      <c r="S23" s="34" t="s">
        <v>67</v>
      </c>
    </row>
    <row r="24" spans="1:19" ht="31.5" customHeight="1" x14ac:dyDescent="0.25">
      <c r="A24" s="52">
        <v>3</v>
      </c>
      <c r="B24" s="7" t="s">
        <v>56</v>
      </c>
      <c r="C24" s="10">
        <f>IF((C10/MAX(C8,C7/250))&gt;100000000,(C10/MAX(C8,C7/250)-100000000)*MAX(C8,C7/250)*1%,0)</f>
        <v>0</v>
      </c>
      <c r="D24" s="10">
        <f>IF((D10/MAX(D8,D7/250))&gt;100000000,(D10/MAX(D8,D7/250)-100000000)*MAX(D8,D7/250)*1%,0)</f>
        <v>0</v>
      </c>
      <c r="E24" s="7"/>
      <c r="F24" s="54"/>
      <c r="I24" s="29" t="s">
        <v>31</v>
      </c>
      <c r="J24" s="250" t="s">
        <v>32</v>
      </c>
      <c r="K24" s="251"/>
      <c r="L24" s="252"/>
      <c r="M24" s="31">
        <v>1850000</v>
      </c>
      <c r="N24" s="31">
        <v>1800000</v>
      </c>
      <c r="O24" s="31">
        <v>1600000</v>
      </c>
      <c r="P24" s="31">
        <v>1500000</v>
      </c>
      <c r="Q24" s="31">
        <v>1400000</v>
      </c>
      <c r="R24" s="31">
        <v>1300000</v>
      </c>
      <c r="S24" s="37">
        <f>MAX(IF($C$8&lt;1,M24*$C$8,IF($C$8&lt;2,N24*$C$8,IF($C$8&lt;5,O24*$C$8,IF($C$8&lt;10,P24*$C$8,IF($C$8&lt;20,Q24*$C$8,R24*$C$8))))),IF($C$7&lt;300,M30*$C$7,IF($C$7&lt;500,N30*$C$7,IF($C$7&lt;1500,O30*$C$7,IF($C$7&lt;5000,P30*$C$7,Q30*$C$7)))))</f>
        <v>4480000</v>
      </c>
    </row>
    <row r="25" spans="1:19" ht="19.5" customHeight="1" x14ac:dyDescent="0.25">
      <c r="A25" s="52">
        <v>4</v>
      </c>
      <c r="B25" s="7" t="s">
        <v>68</v>
      </c>
      <c r="C25" s="15"/>
      <c r="D25" s="15"/>
      <c r="E25" s="7"/>
      <c r="F25" s="60" t="s">
        <v>69</v>
      </c>
      <c r="I25" s="29" t="s">
        <v>35</v>
      </c>
      <c r="J25" s="253"/>
      <c r="K25" s="254"/>
      <c r="L25" s="255"/>
      <c r="M25" s="32">
        <v>2600000</v>
      </c>
      <c r="N25" s="32">
        <v>2300000</v>
      </c>
      <c r="O25" s="32">
        <v>2100000</v>
      </c>
      <c r="P25" s="32">
        <v>2000000</v>
      </c>
      <c r="Q25" s="32">
        <v>1900000</v>
      </c>
      <c r="R25" s="32">
        <v>1800000</v>
      </c>
      <c r="S25" s="37">
        <f>MAX(IF($C$8&lt;1,M25*$C$8,IF($C$8&lt;2,N25*$C$8,IF($C$8&lt;5,O25*$C$8,IF($C$8&lt;10,P25*$C$8,IF($C$8&lt;20,Q25*$C$8,R25*$C$8))))),IF($C$7&lt;300,M31*$C$7,IF($C$7&lt;500,N31*$C$7,IF($C$7&lt;1500,O31*$C$7,IF($C$7&lt;5000,P31*$C$7,Q31*$C$7)))))</f>
        <v>5880000</v>
      </c>
    </row>
    <row r="26" spans="1:19" ht="19.5" customHeight="1" x14ac:dyDescent="0.25">
      <c r="A26" s="52">
        <v>8</v>
      </c>
      <c r="B26" s="7" t="s">
        <v>70</v>
      </c>
      <c r="C26" s="15"/>
      <c r="D26" s="15"/>
      <c r="E26" s="7"/>
      <c r="F26" s="54"/>
      <c r="I26" s="29" t="s">
        <v>37</v>
      </c>
      <c r="J26" s="250" t="s">
        <v>38</v>
      </c>
      <c r="K26" s="251"/>
      <c r="L26" s="252"/>
      <c r="M26" s="31">
        <v>1450000</v>
      </c>
      <c r="N26" s="31">
        <v>1400000</v>
      </c>
      <c r="O26" s="31">
        <v>1300000</v>
      </c>
      <c r="P26" s="31">
        <v>1200000</v>
      </c>
      <c r="Q26" s="31">
        <v>1100000</v>
      </c>
      <c r="R26" s="31">
        <v>1000000</v>
      </c>
      <c r="S26" s="37">
        <f>MAX(IF($C$8&lt;1,M26*$C$8,IF($C$8&lt;2,N26*$C$8,IF($C$8&lt;5,O26*$C$8,IF($C$8&lt;10,P26*$C$8,IF($C$8&lt;20,Q26*$C$8,R26*$C$8))))),IF($C$7&lt;300,M32*$C$7,IF($C$7&lt;500,N32*$C$7,IF($C$7&lt;1500,O32*$C$7,IF($C$7&lt;5000,P32*$C$7,Q32*$C$7)))))</f>
        <v>3812160</v>
      </c>
    </row>
    <row r="27" spans="1:19" ht="19.5" customHeight="1" x14ac:dyDescent="0.25">
      <c r="A27" s="52">
        <v>5</v>
      </c>
      <c r="B27" s="7" t="s">
        <v>90</v>
      </c>
      <c r="C27" s="11">
        <v>5000000</v>
      </c>
      <c r="D27" s="11">
        <v>5000000</v>
      </c>
      <c r="E27" s="7" t="s">
        <v>30</v>
      </c>
      <c r="F27" s="54"/>
      <c r="I27" s="30" t="s">
        <v>40</v>
      </c>
      <c r="J27" s="256"/>
      <c r="K27" s="257"/>
      <c r="L27" s="258"/>
      <c r="M27" s="33">
        <v>2150000</v>
      </c>
      <c r="N27" s="33">
        <v>1900000</v>
      </c>
      <c r="O27" s="33">
        <v>1800000</v>
      </c>
      <c r="P27" s="33">
        <v>1700000</v>
      </c>
      <c r="Q27" s="33">
        <v>1600000</v>
      </c>
      <c r="R27" s="33">
        <v>1500000</v>
      </c>
      <c r="S27" s="37">
        <f>MAX(IF($C$8&lt;1,M27*$C$8,IF($C$8&lt;2,N27*$C$8,IF($C$8&lt;5,O27*$C$8,IF($C$8&lt;10,P27*$C$8,IF($C$8&lt;20,Q27*$C$8,R27*$C$8))))),IF($C$7&lt;300,M33*$C$7,IF($C$7&lt;500,N33*$C$7,IF($C$7&lt;1500,O33*$C$7,IF($C$7&lt;5000,P33*$C$7,Q33*$C$7)))))</f>
        <v>5479980</v>
      </c>
    </row>
    <row r="28" spans="1:19" ht="19.5" customHeight="1" x14ac:dyDescent="0.25">
      <c r="A28" s="52">
        <v>6</v>
      </c>
      <c r="B28" s="7" t="s">
        <v>91</v>
      </c>
      <c r="C28" s="10">
        <f>C19*C12%+(C19+C19*C12%)*C13%</f>
        <v>10983013.35</v>
      </c>
      <c r="D28" s="10">
        <f>D19*D12%+(D19+D19*D12%)*D13%</f>
        <v>9045282.0150000006</v>
      </c>
      <c r="E28" s="7"/>
      <c r="F28" s="54"/>
      <c r="I28" s="23" t="s">
        <v>73</v>
      </c>
      <c r="J28" s="23"/>
      <c r="K28" s="23"/>
      <c r="L28" s="23"/>
      <c r="M28" s="24" t="s">
        <v>19</v>
      </c>
      <c r="N28" s="24" t="s">
        <v>19</v>
      </c>
      <c r="O28" s="24" t="s">
        <v>19</v>
      </c>
      <c r="P28" s="24" t="s">
        <v>19</v>
      </c>
      <c r="Q28" s="24" t="s">
        <v>19</v>
      </c>
      <c r="R28" s="24" t="s">
        <v>19</v>
      </c>
      <c r="S28" s="24" t="s">
        <v>19</v>
      </c>
    </row>
    <row r="29" spans="1:19" ht="22.5" customHeight="1" x14ac:dyDescent="0.25">
      <c r="A29" s="52">
        <v>7</v>
      </c>
      <c r="B29" s="7" t="s">
        <v>92</v>
      </c>
      <c r="C29" s="10">
        <f>(C19+C19*C12%+(C19+C19*C12%)*C13%)*C11%</f>
        <v>6736248.1880000001</v>
      </c>
      <c r="D29" s="10">
        <f>(D19+D19*D12%+(D19+D19*D12%)*D13%)*D11%</f>
        <v>5547772.9692000011</v>
      </c>
      <c r="E29" s="7" t="s">
        <v>30</v>
      </c>
      <c r="F29" s="54"/>
      <c r="I29" s="25" t="s">
        <v>75</v>
      </c>
      <c r="J29" s="261" t="s">
        <v>23</v>
      </c>
      <c r="K29" s="261"/>
      <c r="L29" s="262"/>
      <c r="M29" s="26" t="s">
        <v>76</v>
      </c>
      <c r="N29" s="27" t="s">
        <v>77</v>
      </c>
      <c r="O29" s="27" t="s">
        <v>78</v>
      </c>
      <c r="P29" s="27" t="s">
        <v>79</v>
      </c>
      <c r="Q29" s="27" t="s">
        <v>80</v>
      </c>
      <c r="R29" s="28"/>
    </row>
    <row r="30" spans="1:19" ht="22.5" customHeight="1" x14ac:dyDescent="0.25">
      <c r="A30" s="56"/>
      <c r="B30" s="57" t="s">
        <v>93</v>
      </c>
      <c r="C30" s="58" t="s">
        <v>94</v>
      </c>
      <c r="D30" s="58" t="s">
        <v>95</v>
      </c>
      <c r="E30" s="58"/>
      <c r="F30" s="59"/>
      <c r="I30" s="29" t="s">
        <v>48</v>
      </c>
      <c r="J30" s="250" t="s">
        <v>32</v>
      </c>
      <c r="K30" s="251"/>
      <c r="L30" s="252"/>
      <c r="M30" s="31">
        <v>9000</v>
      </c>
      <c r="N30" s="31">
        <v>8000</v>
      </c>
      <c r="O30" s="31">
        <v>7000</v>
      </c>
      <c r="P30" s="31">
        <v>6000</v>
      </c>
      <c r="Q30" s="31">
        <v>5000</v>
      </c>
      <c r="R30" s="31"/>
    </row>
    <row r="31" spans="1:19" ht="22.5" customHeight="1" x14ac:dyDescent="0.25">
      <c r="A31" s="61"/>
      <c r="B31" s="12" t="s">
        <v>96</v>
      </c>
      <c r="C31" s="13">
        <f>SUM(C22:C28)-C26</f>
        <v>22201013.350000001</v>
      </c>
      <c r="D31" s="13">
        <f>SUM(D22:D28)-D26</f>
        <v>20263282.015000001</v>
      </c>
      <c r="E31" s="12" t="s">
        <v>30</v>
      </c>
      <c r="F31" s="62"/>
      <c r="I31" s="29" t="s">
        <v>51</v>
      </c>
      <c r="J31" s="253"/>
      <c r="K31" s="254"/>
      <c r="L31" s="255"/>
      <c r="M31" s="32">
        <v>12500</v>
      </c>
      <c r="N31" s="32">
        <v>11500</v>
      </c>
      <c r="O31" s="32">
        <v>10500</v>
      </c>
      <c r="P31" s="32">
        <v>9500</v>
      </c>
      <c r="Q31" s="32">
        <v>8500</v>
      </c>
      <c r="R31" s="32"/>
    </row>
    <row r="32" spans="1:19" ht="38.25" customHeight="1" x14ac:dyDescent="0.25">
      <c r="A32" s="61"/>
      <c r="B32" s="12" t="s">
        <v>97</v>
      </c>
      <c r="C32" s="13">
        <f>C29+C27*C11%</f>
        <v>7136248.1880000001</v>
      </c>
      <c r="D32" s="13">
        <f>D29+D19*0.01*D11%+D27*D11%</f>
        <v>5996014.4732800014</v>
      </c>
      <c r="E32" s="12" t="s">
        <v>30</v>
      </c>
      <c r="F32" s="62"/>
      <c r="I32" s="29" t="s">
        <v>53</v>
      </c>
      <c r="J32" s="250" t="s">
        <v>38</v>
      </c>
      <c r="K32" s="251"/>
      <c r="L32" s="252"/>
      <c r="M32" s="31">
        <v>9000</v>
      </c>
      <c r="N32" s="31">
        <v>8000</v>
      </c>
      <c r="O32" s="31">
        <v>7000</v>
      </c>
      <c r="P32" s="31">
        <v>6000</v>
      </c>
      <c r="Q32" s="31">
        <v>5000</v>
      </c>
      <c r="R32" s="31"/>
    </row>
    <row r="33" spans="1:20" ht="33.75" customHeight="1" x14ac:dyDescent="0.25">
      <c r="A33" s="76"/>
      <c r="B33" s="77" t="s">
        <v>99</v>
      </c>
      <c r="C33" s="78">
        <f>C19+C28+C27</f>
        <v>89203102.349999994</v>
      </c>
      <c r="D33" s="78">
        <f>D19+D28+D27</f>
        <v>74347162.11500001</v>
      </c>
      <c r="E33" s="77" t="s">
        <v>30</v>
      </c>
      <c r="F33" s="79"/>
      <c r="I33" s="30" t="s">
        <v>55</v>
      </c>
      <c r="J33" s="256"/>
      <c r="K33" s="257"/>
      <c r="L33" s="258"/>
      <c r="M33" s="33">
        <v>12500</v>
      </c>
      <c r="N33" s="33">
        <v>11500</v>
      </c>
      <c r="O33" s="33">
        <v>10500</v>
      </c>
      <c r="P33" s="33">
        <v>9500</v>
      </c>
      <c r="Q33" s="33">
        <v>8500</v>
      </c>
      <c r="R33" s="33"/>
    </row>
    <row r="34" spans="1:20" ht="30" x14ac:dyDescent="0.25">
      <c r="A34" s="80"/>
      <c r="B34" s="81"/>
      <c r="C34" s="82" t="s">
        <v>111</v>
      </c>
      <c r="D34" s="83" t="s">
        <v>112</v>
      </c>
      <c r="E34" s="82" t="s">
        <v>113</v>
      </c>
      <c r="F34" s="86" t="s">
        <v>114</v>
      </c>
      <c r="Q34" s="3"/>
      <c r="R34" s="3"/>
      <c r="S34" s="3"/>
    </row>
    <row r="35" spans="1:20" x14ac:dyDescent="0.25">
      <c r="A35" s="80"/>
      <c r="B35" s="81"/>
      <c r="C35" s="83">
        <f>(C33-D33)*0.2</f>
        <v>2971188.046999997</v>
      </c>
      <c r="D35" s="83">
        <f>C32-D32</f>
        <v>1140233.7147199987</v>
      </c>
      <c r="E35" s="84">
        <f>C31-D31</f>
        <v>1937731.3350000009</v>
      </c>
      <c r="F35" s="85">
        <f>D35+E35-C35</f>
        <v>106777.00272000255</v>
      </c>
    </row>
    <row r="36" spans="1:20" x14ac:dyDescent="0.25">
      <c r="A36" s="263" t="s">
        <v>72</v>
      </c>
      <c r="B36" s="264"/>
      <c r="C36" s="264"/>
      <c r="D36" s="264"/>
      <c r="E36" s="264"/>
      <c r="F36" s="265"/>
      <c r="I36" s="47"/>
      <c r="J36" s="47"/>
    </row>
    <row r="37" spans="1:20" ht="30" x14ac:dyDescent="0.25">
      <c r="A37" s="52">
        <v>1</v>
      </c>
      <c r="B37" s="7" t="s">
        <v>74</v>
      </c>
      <c r="C37" s="42">
        <v>75000000</v>
      </c>
      <c r="D37" s="42">
        <v>75000000</v>
      </c>
      <c r="E37" s="7"/>
      <c r="F37" s="60" t="str">
        <f>"KH chuyển khoản cho Eureka thanh toán hộ cho nhà cung cấp số tiền "&amp;C37</f>
        <v>KH chuyển khoản cho Eureka thanh toán hộ cho nhà cung cấp số tiền 75000000</v>
      </c>
      <c r="I37" s="47"/>
    </row>
    <row r="38" spans="1:20" ht="88.5" customHeight="1" x14ac:dyDescent="0.25">
      <c r="A38" s="52">
        <v>2</v>
      </c>
      <c r="B38" s="14" t="s">
        <v>81</v>
      </c>
      <c r="C38" s="43">
        <f>C33-C37</f>
        <v>14203102.349999994</v>
      </c>
      <c r="D38" s="43">
        <f>D33-D37</f>
        <v>-652837.88499999046</v>
      </c>
      <c r="E38" s="7"/>
      <c r="F38" s="60" t="str">
        <f>IF(C38&gt;0,"KH chuyển khoản vào tài khoản công ty số tiền "&amp;C38,"Khách hàng đang còn thừa công nợ trên sổ sách số tiền "&amp;-C38)</f>
        <v>KH chuyển khoản vào tài khoản công ty số tiền 14203102,35</v>
      </c>
      <c r="Q38" s="4"/>
      <c r="R38" s="4"/>
      <c r="S38" s="4"/>
    </row>
    <row r="39" spans="1:20" ht="94.5" x14ac:dyDescent="0.25">
      <c r="A39" s="66">
        <v>3</v>
      </c>
      <c r="B39" s="67" t="s">
        <v>82</v>
      </c>
      <c r="C39" s="68">
        <f>IF(C38&gt;0,C38,"Khách hàng đang còn thừa công nợ trên sổ sách số tiền "&amp;-C38)</f>
        <v>14203102.349999994</v>
      </c>
      <c r="D39" s="68" t="str">
        <f>IF(D38&gt;0,D38,"Khách hàng đang còn thừa công nợ trên sổ sách số tiền "&amp;-D38)</f>
        <v>Khách hàng đang còn thừa công nợ trên sổ sách số tiền 652837,88499999</v>
      </c>
      <c r="E39" s="67"/>
      <c r="F39" s="69" t="str">
        <f>IF(C39&lt;0,"Hoàn trả khách hàng số tiền "&amp;-C39&amp;" Qua tài khoản khách hàng cung cấp",IF(C38&lt;0,C39," Khách hàng chuyển trả thêm Eureka số tiền "&amp;C39&amp; " Qua tài khoản kế toán Eureka cung cấp"))</f>
        <v xml:space="preserve"> Khách hàng chuyển trả thêm Eureka số tiền 14203102,35 Qua tài khoản kế toán Eureka cung cấp</v>
      </c>
      <c r="I39" s="47"/>
      <c r="J39" s="47"/>
      <c r="K39" s="47"/>
    </row>
    <row r="40" spans="1:20" ht="60" x14ac:dyDescent="0.25">
      <c r="C40" t="s">
        <v>106</v>
      </c>
      <c r="D40" s="70" t="s">
        <v>107</v>
      </c>
      <c r="I40" s="47"/>
      <c r="K40" s="44"/>
    </row>
    <row r="42" spans="1:20" x14ac:dyDescent="0.25">
      <c r="Q42" s="5"/>
      <c r="R42" s="5"/>
      <c r="S42" s="6"/>
    </row>
    <row r="43" spans="1:20" x14ac:dyDescent="0.25">
      <c r="T43" s="2"/>
    </row>
    <row r="44" spans="1:20" x14ac:dyDescent="0.25">
      <c r="I44" s="1"/>
      <c r="J44" s="1"/>
      <c r="K44" s="1"/>
    </row>
    <row r="45" spans="1:20" x14ac:dyDescent="0.25">
      <c r="I45" s="1"/>
      <c r="J45" s="1"/>
      <c r="K45" s="1"/>
    </row>
    <row r="46" spans="1:20" x14ac:dyDescent="0.25">
      <c r="I46" s="1"/>
      <c r="J46" s="1"/>
      <c r="K46" s="1"/>
    </row>
    <row r="47" spans="1:20" x14ac:dyDescent="0.25">
      <c r="I47" s="1"/>
      <c r="J47" s="1"/>
      <c r="K47" s="45"/>
    </row>
    <row r="48" spans="1:20" x14ac:dyDescent="0.25">
      <c r="I48" s="1"/>
      <c r="J48" s="1"/>
      <c r="K48" s="1"/>
    </row>
    <row r="49" spans="9:11" x14ac:dyDescent="0.25">
      <c r="I49" s="1"/>
      <c r="J49" s="1"/>
      <c r="K49" s="1"/>
    </row>
  </sheetData>
  <mergeCells count="17">
    <mergeCell ref="J24:L25"/>
    <mergeCell ref="A2:F2"/>
    <mergeCell ref="C5:D5"/>
    <mergeCell ref="I7:P7"/>
    <mergeCell ref="J8:K8"/>
    <mergeCell ref="J9:K10"/>
    <mergeCell ref="J11:K12"/>
    <mergeCell ref="J14:K14"/>
    <mergeCell ref="J15:K16"/>
    <mergeCell ref="J17:K18"/>
    <mergeCell ref="I22:P22"/>
    <mergeCell ref="J23:L23"/>
    <mergeCell ref="J26:L27"/>
    <mergeCell ref="J29:L29"/>
    <mergeCell ref="J30:L31"/>
    <mergeCell ref="J32:L33"/>
    <mergeCell ref="A36:F36"/>
  </mergeCells>
  <dataValidations count="4">
    <dataValidation type="list" allowBlank="1" showInputMessage="1" showErrorMessage="1" sqref="C4:D4" xr:uid="{D6C84CEA-8D0C-4F6D-A0EB-3EBBA768BE91}">
      <formula1>"Elite,Premium,Pro,Basic"</formula1>
    </dataValidation>
    <dataValidation type="list" allowBlank="1" showInputMessage="1" showErrorMessage="1" sqref="I4 C14:D14" xr:uid="{DCC3B6EA-3C43-446C-AAD6-BAD13AC041BE}">
      <formula1>"Bộ,Biển"</formula1>
    </dataValidation>
    <dataValidation type="list" allowBlank="1" showInputMessage="1" showErrorMessage="1" sqref="C15:D15" xr:uid="{3D73843A-9ADD-468A-8D02-933D30626EA0}">
      <formula1>"Quảng Châu,Bằng Tường"</formula1>
    </dataValidation>
    <dataValidation type="list" allowBlank="1" showInputMessage="1" showErrorMessage="1" sqref="C16:D16" xr:uid="{E7086C1F-6802-46C9-8B57-BF655737D97E}">
      <formula1>"Hà Nội,Hồ Chí Minh"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E2AB-ADE7-4564-882F-AFD27B7F279E}">
  <dimension ref="A1:W54"/>
  <sheetViews>
    <sheetView showGridLines="0" topLeftCell="E37" workbookViewId="0">
      <selection activeCell="J54" sqref="J54"/>
    </sheetView>
  </sheetViews>
  <sheetFormatPr defaultRowHeight="15" x14ac:dyDescent="0.25"/>
  <cols>
    <col min="1" max="1" width="4.42578125" customWidth="1"/>
    <col min="2" max="2" width="33.5703125" customWidth="1"/>
    <col min="3" max="3" width="15.5703125" customWidth="1"/>
    <col min="4" max="4" width="12" customWidth="1"/>
    <col min="5" max="5" width="28.5703125" style="70" customWidth="1"/>
    <col min="6" max="6" width="13.140625" customWidth="1"/>
    <col min="7" max="7" width="14.28515625" customWidth="1"/>
    <col min="8" max="8" width="22" customWidth="1"/>
    <col min="9" max="10" width="16.140625" customWidth="1"/>
    <col min="11" max="15" width="12.28515625" customWidth="1"/>
    <col min="16" max="16" width="12.42578125" customWidth="1"/>
    <col min="17" max="17" width="13" customWidth="1"/>
    <col min="18" max="18" width="16.140625" customWidth="1"/>
    <col min="19" max="19" width="20" customWidth="1"/>
    <col min="20" max="20" width="12.28515625" customWidth="1"/>
    <col min="21" max="21" width="12.7109375" customWidth="1"/>
    <col min="22" max="22" width="14" style="70" customWidth="1"/>
    <col min="23" max="23" width="18.28515625" customWidth="1"/>
    <col min="24" max="24" width="13.140625" customWidth="1"/>
  </cols>
  <sheetData>
    <row r="1" spans="1:18" ht="15.75" thickBot="1" x14ac:dyDescent="0.3">
      <c r="B1" s="288" t="s">
        <v>252</v>
      </c>
      <c r="C1" s="288"/>
      <c r="D1" s="288"/>
      <c r="E1" s="288"/>
      <c r="G1" s="289" t="s">
        <v>253</v>
      </c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1"/>
    </row>
    <row r="2" spans="1:18" ht="27.75" customHeight="1" x14ac:dyDescent="0.25">
      <c r="A2" s="266" t="s">
        <v>0</v>
      </c>
      <c r="B2" s="267"/>
      <c r="C2" s="267"/>
      <c r="D2" s="267"/>
      <c r="E2" s="268"/>
      <c r="G2" s="292"/>
      <c r="H2" s="8"/>
      <c r="I2" s="293" t="s">
        <v>1</v>
      </c>
      <c r="J2" s="293"/>
      <c r="K2" s="293"/>
      <c r="L2" s="293"/>
      <c r="M2" s="293"/>
      <c r="N2" s="293"/>
      <c r="O2" s="293"/>
      <c r="P2" s="293"/>
      <c r="Q2" s="293"/>
      <c r="R2" s="294"/>
    </row>
    <row r="3" spans="1:18" ht="54.75" customHeight="1" x14ac:dyDescent="0.25">
      <c r="A3" s="72"/>
      <c r="C3" s="75" t="s">
        <v>116</v>
      </c>
      <c r="D3" s="73"/>
      <c r="E3" s="74"/>
      <c r="G3" s="292"/>
      <c r="H3" s="8"/>
      <c r="I3" s="293"/>
      <c r="J3" s="293"/>
      <c r="K3" s="293"/>
      <c r="L3" s="293"/>
      <c r="M3" s="293"/>
      <c r="N3" s="293"/>
      <c r="O3" s="293"/>
      <c r="P3" s="293"/>
      <c r="Q3" s="293"/>
      <c r="R3" s="294"/>
    </row>
    <row r="4" spans="1:18" x14ac:dyDescent="0.25">
      <c r="A4" s="48"/>
      <c r="B4" s="39" t="s">
        <v>2</v>
      </c>
      <c r="C4" s="40" t="s">
        <v>3</v>
      </c>
      <c r="D4" s="39"/>
      <c r="E4" s="49"/>
      <c r="G4" s="292"/>
      <c r="H4" s="9"/>
      <c r="I4" s="293" t="s">
        <v>4</v>
      </c>
      <c r="J4" s="293"/>
      <c r="K4" s="293"/>
      <c r="L4" s="293"/>
      <c r="M4" s="293"/>
      <c r="N4" s="293"/>
      <c r="O4" s="293"/>
      <c r="P4" s="293"/>
      <c r="Q4" s="293"/>
      <c r="R4" s="294"/>
    </row>
    <row r="5" spans="1:18" x14ac:dyDescent="0.25">
      <c r="A5" s="50">
        <v>1</v>
      </c>
      <c r="B5" s="41" t="s">
        <v>5</v>
      </c>
      <c r="C5" s="41" t="s">
        <v>6</v>
      </c>
      <c r="D5" s="41" t="s">
        <v>7</v>
      </c>
      <c r="E5" s="105" t="s">
        <v>8</v>
      </c>
      <c r="F5" s="1" t="s">
        <v>9</v>
      </c>
      <c r="G5" s="295" t="s">
        <v>10</v>
      </c>
      <c r="H5" s="296" t="s">
        <v>11</v>
      </c>
      <c r="I5" s="296">
        <v>500000</v>
      </c>
      <c r="J5" s="293"/>
      <c r="K5" s="293"/>
      <c r="L5" s="293"/>
      <c r="M5" s="293"/>
      <c r="N5" s="293"/>
      <c r="O5" s="293"/>
      <c r="P5" s="293"/>
      <c r="Q5" s="293"/>
      <c r="R5" s="294"/>
    </row>
    <row r="6" spans="1:18" x14ac:dyDescent="0.25">
      <c r="A6" s="52">
        <v>2</v>
      </c>
      <c r="B6" s="7" t="s">
        <v>12</v>
      </c>
      <c r="C6" s="8">
        <v>2</v>
      </c>
      <c r="D6" s="7" t="s">
        <v>13</v>
      </c>
      <c r="E6" s="55"/>
      <c r="G6" s="295"/>
      <c r="H6" s="296" t="s">
        <v>14</v>
      </c>
      <c r="I6" s="296">
        <v>400000</v>
      </c>
      <c r="J6" s="293"/>
      <c r="K6" s="293"/>
      <c r="L6" s="293"/>
      <c r="M6" s="293"/>
      <c r="N6" s="293"/>
      <c r="O6" s="293"/>
      <c r="P6" s="293"/>
      <c r="Q6" s="293"/>
      <c r="R6" s="294"/>
    </row>
    <row r="7" spans="1:18" ht="16.5" thickBot="1" x14ac:dyDescent="0.3">
      <c r="A7" s="52">
        <v>3</v>
      </c>
      <c r="B7" s="7" t="s">
        <v>15</v>
      </c>
      <c r="C7" s="8">
        <v>590</v>
      </c>
      <c r="D7" s="7" t="s">
        <v>16</v>
      </c>
      <c r="E7" s="60"/>
      <c r="G7" s="295" t="s">
        <v>17</v>
      </c>
      <c r="H7" s="297" t="s">
        <v>18</v>
      </c>
      <c r="I7" s="297"/>
      <c r="J7" s="297"/>
      <c r="K7" s="297"/>
      <c r="L7" s="297"/>
      <c r="M7" s="297"/>
      <c r="N7" s="297"/>
      <c r="O7" s="297"/>
      <c r="P7" s="298" t="s">
        <v>19</v>
      </c>
      <c r="Q7" s="298" t="s">
        <v>19</v>
      </c>
      <c r="R7" s="299" t="s">
        <v>19</v>
      </c>
    </row>
    <row r="8" spans="1:18" ht="19.5" customHeight="1" x14ac:dyDescent="0.25">
      <c r="A8" s="52">
        <v>4</v>
      </c>
      <c r="B8" s="7" t="s">
        <v>20</v>
      </c>
      <c r="C8" s="101">
        <v>1.909</v>
      </c>
      <c r="D8" s="7" t="s">
        <v>21</v>
      </c>
      <c r="E8" s="60"/>
      <c r="G8" s="292"/>
      <c r="H8" s="18" t="s">
        <v>22</v>
      </c>
      <c r="I8" s="269" t="s">
        <v>23</v>
      </c>
      <c r="J8" s="269"/>
      <c r="K8" s="20" t="s">
        <v>24</v>
      </c>
      <c r="L8" s="209" t="s">
        <v>25</v>
      </c>
      <c r="M8" s="209" t="s">
        <v>26</v>
      </c>
      <c r="N8" s="209" t="s">
        <v>27</v>
      </c>
      <c r="O8" s="300" t="s">
        <v>28</v>
      </c>
      <c r="P8" s="293"/>
      <c r="Q8" s="293"/>
      <c r="R8" s="294"/>
    </row>
    <row r="9" spans="1:18" ht="23.25" x14ac:dyDescent="0.25">
      <c r="A9" s="52">
        <v>5</v>
      </c>
      <c r="B9" s="14" t="s">
        <v>117</v>
      </c>
      <c r="C9" s="16">
        <f>E44</f>
        <v>42301250</v>
      </c>
      <c r="D9" s="7" t="s">
        <v>30</v>
      </c>
      <c r="E9" s="60"/>
      <c r="G9" s="292"/>
      <c r="H9" s="21" t="s">
        <v>31</v>
      </c>
      <c r="I9" s="250" t="s">
        <v>32</v>
      </c>
      <c r="J9" s="252"/>
      <c r="K9" s="31">
        <v>1850000</v>
      </c>
      <c r="L9" s="31">
        <v>1665000</v>
      </c>
      <c r="M9" s="31">
        <v>1480000</v>
      </c>
      <c r="N9" s="31">
        <v>1295000</v>
      </c>
      <c r="O9" s="301">
        <f>MAX(IF($C$4="basic",K15*$C$7,IF($C$4="pro",L15*$C$7,IF($C$4="Premium",M15*$C$7,N15*$C$7))),IF($C$4="basic",K9*$C$8,IF($C$4="pro",L9*$C$8,IF($C$4="Premium",M9*$C$8,N9*$C$8))))</f>
        <v>4779000</v>
      </c>
      <c r="P9" s="293"/>
      <c r="Q9" s="293"/>
      <c r="R9" s="294"/>
    </row>
    <row r="10" spans="1:18" ht="19.5" customHeight="1" x14ac:dyDescent="0.25">
      <c r="A10" s="52">
        <v>6</v>
      </c>
      <c r="B10" s="7" t="s">
        <v>33</v>
      </c>
      <c r="C10" s="8">
        <v>8</v>
      </c>
      <c r="D10" s="7" t="s">
        <v>34</v>
      </c>
      <c r="E10" s="60" t="s">
        <v>118</v>
      </c>
      <c r="G10" s="292"/>
      <c r="H10" s="21" t="s">
        <v>35</v>
      </c>
      <c r="I10" s="270"/>
      <c r="J10" s="271"/>
      <c r="K10" s="32">
        <v>2600000</v>
      </c>
      <c r="L10" s="32">
        <v>2340000</v>
      </c>
      <c r="M10" s="32">
        <v>2080000</v>
      </c>
      <c r="N10" s="32">
        <v>1820000</v>
      </c>
      <c r="O10" s="301">
        <f>MAX(IF($C$4="basic",K16*$C$7,IF($C$4="pro",L16*$C$7,IF($C$4="Premium",M16*$C$7,N16*$C$7))),IF($C$4="basic",K10*$C$8,IF($C$4="pro",L10*$C$8,IF($C$4="Premium",M10*$C$8,N10*$C$8))))</f>
        <v>6637500</v>
      </c>
      <c r="P10" s="293"/>
      <c r="Q10" s="293"/>
      <c r="R10" s="294"/>
    </row>
    <row r="11" spans="1:18" ht="19.5" customHeight="1" x14ac:dyDescent="0.25">
      <c r="A11" s="52">
        <v>7</v>
      </c>
      <c r="B11" s="7" t="s">
        <v>36</v>
      </c>
      <c r="C11" s="8">
        <v>0</v>
      </c>
      <c r="D11" s="7" t="s">
        <v>34</v>
      </c>
      <c r="E11" s="60" t="s">
        <v>118</v>
      </c>
      <c r="G11" s="292"/>
      <c r="H11" s="21" t="s">
        <v>37</v>
      </c>
      <c r="I11" s="250" t="s">
        <v>38</v>
      </c>
      <c r="J11" s="252"/>
      <c r="K11" s="31">
        <v>1450000</v>
      </c>
      <c r="L11" s="31">
        <v>1305000</v>
      </c>
      <c r="M11" s="31">
        <v>1160000</v>
      </c>
      <c r="N11" s="31">
        <v>1015000</v>
      </c>
      <c r="O11" s="301">
        <f>MAX(IF($C$4="basic",K17*$C$7,IF($C$4="pro",L17*$C$7,IF($C$4="Premium",M17*$C$7,N17*$C$7))),IF($C$4="basic",K11*$C$8,IF($C$4="pro",L11*$C$8,IF($C$4="Premium",M11*$C$8,N11*$C$8))))</f>
        <v>4779000</v>
      </c>
      <c r="P11" s="293"/>
      <c r="Q11" s="293"/>
      <c r="R11" s="294"/>
    </row>
    <row r="12" spans="1:18" ht="19.5" customHeight="1" thickBot="1" x14ac:dyDescent="0.3">
      <c r="A12" s="52">
        <v>8</v>
      </c>
      <c r="B12" s="7" t="s">
        <v>39</v>
      </c>
      <c r="C12" s="8">
        <v>0</v>
      </c>
      <c r="D12" s="7" t="s">
        <v>34</v>
      </c>
      <c r="E12" s="60" t="s">
        <v>118</v>
      </c>
      <c r="G12" s="292"/>
      <c r="H12" s="22" t="s">
        <v>40</v>
      </c>
      <c r="I12" s="259"/>
      <c r="J12" s="260"/>
      <c r="K12" s="33">
        <v>2150000</v>
      </c>
      <c r="L12" s="33">
        <v>1935000</v>
      </c>
      <c r="M12" s="33">
        <v>1720000</v>
      </c>
      <c r="N12" s="33">
        <v>1505000</v>
      </c>
      <c r="O12" s="301">
        <f>MAX(IF($C$4="basic",K18*$C$7,IF($C$4="pro",L18*$C$7,IF($C$4="Premium",M18*$C$7,N18*$C$7))),IF($C$4="basic",K12*$C$8,IF($C$4="pro",L12*$C$8,IF($C$4="Premium",M12*$C$8,N12*$C$8))))</f>
        <v>6637500</v>
      </c>
      <c r="P12" s="293"/>
      <c r="Q12" s="293"/>
      <c r="R12" s="294"/>
    </row>
    <row r="13" spans="1:18" ht="19.5" customHeight="1" thickBot="1" x14ac:dyDescent="0.3">
      <c r="A13" s="52">
        <v>9</v>
      </c>
      <c r="B13" s="7" t="s">
        <v>41</v>
      </c>
      <c r="C13" s="9" t="s">
        <v>14</v>
      </c>
      <c r="D13" s="7"/>
      <c r="E13" s="55"/>
      <c r="G13" s="292"/>
      <c r="H13" s="302" t="s">
        <v>42</v>
      </c>
      <c r="I13" s="303"/>
      <c r="J13" s="303"/>
      <c r="K13" s="303"/>
      <c r="L13" s="304" t="s">
        <v>19</v>
      </c>
      <c r="M13" s="304" t="s">
        <v>19</v>
      </c>
      <c r="N13" s="304" t="s">
        <v>19</v>
      </c>
      <c r="O13" s="305"/>
      <c r="P13" s="293"/>
      <c r="Q13" s="293"/>
      <c r="R13" s="294"/>
    </row>
    <row r="14" spans="1:18" ht="29.25" customHeight="1" x14ac:dyDescent="0.25">
      <c r="A14" s="52">
        <v>10</v>
      </c>
      <c r="B14" s="7" t="s">
        <v>43</v>
      </c>
      <c r="C14" s="9" t="s">
        <v>44</v>
      </c>
      <c r="D14" s="7"/>
      <c r="E14" s="55"/>
      <c r="G14" s="292"/>
      <c r="H14" s="18" t="s">
        <v>45</v>
      </c>
      <c r="I14" s="269" t="s">
        <v>23</v>
      </c>
      <c r="J14" s="269"/>
      <c r="K14" s="20" t="s">
        <v>24</v>
      </c>
      <c r="L14" s="209" t="s">
        <v>25</v>
      </c>
      <c r="M14" s="209" t="s">
        <v>26</v>
      </c>
      <c r="N14" s="209" t="s">
        <v>27</v>
      </c>
      <c r="O14" s="293"/>
      <c r="P14" s="293"/>
      <c r="Q14" s="293"/>
      <c r="R14" s="294"/>
    </row>
    <row r="15" spans="1:18" ht="19.5" customHeight="1" x14ac:dyDescent="0.25">
      <c r="A15" s="52">
        <v>11</v>
      </c>
      <c r="B15" s="7" t="s">
        <v>46</v>
      </c>
      <c r="C15" s="9" t="s">
        <v>47</v>
      </c>
      <c r="D15" s="7"/>
      <c r="E15" s="60"/>
      <c r="G15" s="292"/>
      <c r="H15" s="21" t="s">
        <v>48</v>
      </c>
      <c r="I15" s="250" t="s">
        <v>32</v>
      </c>
      <c r="J15" s="252"/>
      <c r="K15" s="31">
        <v>9000</v>
      </c>
      <c r="L15" s="31">
        <v>8100</v>
      </c>
      <c r="M15" s="31">
        <v>7200</v>
      </c>
      <c r="N15" s="31">
        <v>6300</v>
      </c>
      <c r="O15" s="293"/>
      <c r="P15" s="293"/>
      <c r="Q15" s="293"/>
      <c r="R15" s="294"/>
    </row>
    <row r="16" spans="1:18" ht="19.5" customHeight="1" x14ac:dyDescent="0.25">
      <c r="A16" s="52">
        <v>12</v>
      </c>
      <c r="B16" s="7" t="s">
        <v>49</v>
      </c>
      <c r="C16" s="36">
        <f>IF(C14="Quảng Châu",IF(C15="Hà Nội",$O$9,$O$10),IF(C14="Bằng Tường",IF(C15="Hà Nội",$O$11,$O$12)))</f>
        <v>4779000</v>
      </c>
      <c r="D16" s="7" t="s">
        <v>50</v>
      </c>
      <c r="E16" s="60"/>
      <c r="G16" s="292"/>
      <c r="H16" s="21" t="s">
        <v>51</v>
      </c>
      <c r="I16" s="270"/>
      <c r="J16" s="271"/>
      <c r="K16" s="32">
        <v>12500</v>
      </c>
      <c r="L16" s="32">
        <v>11250</v>
      </c>
      <c r="M16" s="32">
        <v>10000</v>
      </c>
      <c r="N16" s="32">
        <v>8750</v>
      </c>
      <c r="O16" s="293"/>
      <c r="P16" s="293"/>
      <c r="Q16" s="293"/>
      <c r="R16" s="294"/>
    </row>
    <row r="17" spans="1:18" ht="36" customHeight="1" x14ac:dyDescent="0.25">
      <c r="A17" s="52">
        <v>13</v>
      </c>
      <c r="B17" s="14" t="s">
        <v>52</v>
      </c>
      <c r="C17" s="36">
        <f>IF(C14="Quảng Châu",IF(C15="Hà Nội",$R$24,$R$25),IF(C14="Bằng Tường",IF(C15="Hà Nội",$R$26,$R$27)))</f>
        <v>4130000</v>
      </c>
      <c r="D17" s="7" t="s">
        <v>30</v>
      </c>
      <c r="E17" s="60"/>
      <c r="G17" s="292"/>
      <c r="H17" s="21" t="s">
        <v>53</v>
      </c>
      <c r="I17" s="250" t="s">
        <v>38</v>
      </c>
      <c r="J17" s="252"/>
      <c r="K17" s="31">
        <v>9000</v>
      </c>
      <c r="L17" s="31">
        <v>8100</v>
      </c>
      <c r="M17" s="31">
        <v>7200</v>
      </c>
      <c r="N17" s="31">
        <v>6300</v>
      </c>
      <c r="O17" s="293"/>
      <c r="P17" s="293"/>
      <c r="Q17" s="293"/>
      <c r="R17" s="294"/>
    </row>
    <row r="18" spans="1:18" ht="19.5" customHeight="1" thickBot="1" x14ac:dyDescent="0.3">
      <c r="A18" s="63"/>
      <c r="B18" s="70" t="s">
        <v>87</v>
      </c>
      <c r="C18" s="71">
        <f>C9+C21+C8*IF(C14="Quảng châu",1000000,700000)+C23+C24-C25</f>
        <v>46210425</v>
      </c>
      <c r="E18" s="106">
        <f>C18-C9</f>
        <v>3909175</v>
      </c>
      <c r="G18" s="292"/>
      <c r="H18" s="22" t="s">
        <v>55</v>
      </c>
      <c r="I18" s="259"/>
      <c r="J18" s="260"/>
      <c r="K18" s="33">
        <v>12500</v>
      </c>
      <c r="L18" s="33">
        <v>11250</v>
      </c>
      <c r="M18" s="33">
        <v>10000</v>
      </c>
      <c r="N18" s="33">
        <v>8750</v>
      </c>
      <c r="O18" s="293"/>
      <c r="P18" s="293"/>
      <c r="Q18" s="293"/>
      <c r="R18" s="294"/>
    </row>
    <row r="19" spans="1:18" ht="19.5" customHeight="1" x14ac:dyDescent="0.25">
      <c r="A19" s="63"/>
      <c r="C19" s="71"/>
      <c r="E19" s="107"/>
      <c r="G19" s="292"/>
      <c r="H19" s="293"/>
      <c r="I19" s="306"/>
      <c r="J19" s="306"/>
      <c r="K19" s="306"/>
      <c r="L19" s="306"/>
      <c r="M19" s="306"/>
      <c r="N19" s="306"/>
      <c r="O19" s="306"/>
      <c r="P19" s="306"/>
      <c r="Q19" s="306"/>
      <c r="R19" s="307"/>
    </row>
    <row r="20" spans="1:18" ht="19.5" customHeight="1" x14ac:dyDescent="0.25">
      <c r="A20" s="56"/>
      <c r="B20" s="57" t="s">
        <v>54</v>
      </c>
      <c r="C20" s="58"/>
      <c r="D20" s="58"/>
      <c r="E20" s="108"/>
      <c r="G20" s="292"/>
      <c r="H20" s="293"/>
      <c r="I20" s="306"/>
      <c r="J20" s="306"/>
      <c r="K20" s="306"/>
      <c r="L20" s="306"/>
      <c r="M20" s="306"/>
      <c r="N20" s="306"/>
      <c r="O20" s="306"/>
      <c r="P20" s="306"/>
      <c r="Q20" s="306"/>
      <c r="R20" s="307"/>
    </row>
    <row r="21" spans="1:18" ht="19.5" customHeight="1" x14ac:dyDescent="0.25">
      <c r="A21" s="52">
        <v>1</v>
      </c>
      <c r="B21" s="7" t="s">
        <v>88</v>
      </c>
      <c r="C21" s="10">
        <f>IF(C13=$H$6,$I$6*C6,$I$5*C6)</f>
        <v>800000</v>
      </c>
      <c r="D21" s="7" t="s">
        <v>30</v>
      </c>
      <c r="E21" s="60"/>
      <c r="G21" s="292"/>
      <c r="H21" s="293"/>
      <c r="I21" s="306"/>
      <c r="J21" s="306"/>
      <c r="K21" s="306"/>
      <c r="L21" s="306"/>
      <c r="M21" s="306"/>
      <c r="N21" s="306"/>
      <c r="O21" s="306"/>
      <c r="P21" s="306"/>
      <c r="Q21" s="306"/>
      <c r="R21" s="307"/>
    </row>
    <row r="22" spans="1:18" ht="19.5" customHeight="1" thickBot="1" x14ac:dyDescent="0.3">
      <c r="A22" s="52">
        <v>2</v>
      </c>
      <c r="B22" s="7" t="s">
        <v>89</v>
      </c>
      <c r="C22" s="10">
        <f>MIN(C16:C17)</f>
        <v>4130000</v>
      </c>
      <c r="D22" s="7" t="s">
        <v>30</v>
      </c>
      <c r="E22" s="109"/>
      <c r="G22" s="292"/>
      <c r="H22" s="273" t="s">
        <v>58</v>
      </c>
      <c r="I22" s="273"/>
      <c r="J22" s="273"/>
      <c r="K22" s="273"/>
      <c r="L22" s="273"/>
      <c r="M22" s="273"/>
      <c r="N22" s="273"/>
      <c r="O22" s="273"/>
      <c r="P22" s="304" t="s">
        <v>19</v>
      </c>
      <c r="Q22" s="304" t="s">
        <v>19</v>
      </c>
      <c r="R22" s="308" t="s">
        <v>19</v>
      </c>
    </row>
    <row r="23" spans="1:18" ht="19.5" customHeight="1" thickTop="1" x14ac:dyDescent="0.25">
      <c r="A23" s="52">
        <v>3</v>
      </c>
      <c r="B23" s="7" t="s">
        <v>56</v>
      </c>
      <c r="C23" s="10">
        <f>IF(((C9+C21+C8*IF(C14="Quảng châu",1000000,700000)+C24-C25)/MAX(C8,C7/250))&gt;100000000,((C9+C21+C8*IF(C14="Quảng châu",1000000,700000)+C24-C25)/MAX(C8,C7/250)-100000000)*MAX(C8,C7/250)*1%,0)</f>
        <v>0</v>
      </c>
      <c r="D23" s="7"/>
      <c r="E23" s="109"/>
      <c r="G23" s="292"/>
      <c r="H23" s="25" t="s">
        <v>60</v>
      </c>
      <c r="I23" s="261" t="s">
        <v>23</v>
      </c>
      <c r="J23" s="261"/>
      <c r="K23" s="262"/>
      <c r="L23" s="211" t="s">
        <v>61</v>
      </c>
      <c r="M23" s="211" t="s">
        <v>62</v>
      </c>
      <c r="N23" s="211" t="s">
        <v>63</v>
      </c>
      <c r="O23" s="211" t="s">
        <v>64</v>
      </c>
      <c r="P23" s="211" t="s">
        <v>65</v>
      </c>
      <c r="Q23" s="211" t="s">
        <v>66</v>
      </c>
      <c r="R23" s="309" t="s">
        <v>67</v>
      </c>
    </row>
    <row r="24" spans="1:18" ht="31.5" customHeight="1" x14ac:dyDescent="0.25">
      <c r="A24" s="52">
        <v>4</v>
      </c>
      <c r="B24" s="7" t="s">
        <v>68</v>
      </c>
      <c r="C24" s="15">
        <v>1200175</v>
      </c>
      <c r="D24" s="7" t="s">
        <v>30</v>
      </c>
      <c r="E24" s="60" t="s">
        <v>69</v>
      </c>
      <c r="G24" s="292"/>
      <c r="H24" s="29" t="s">
        <v>31</v>
      </c>
      <c r="I24" s="250" t="s">
        <v>32</v>
      </c>
      <c r="J24" s="251"/>
      <c r="K24" s="252"/>
      <c r="L24" s="31">
        <v>1850000</v>
      </c>
      <c r="M24" s="31">
        <v>1800000</v>
      </c>
      <c r="N24" s="31">
        <v>1600000</v>
      </c>
      <c r="O24" s="31">
        <v>1500000</v>
      </c>
      <c r="P24" s="31">
        <v>1400000</v>
      </c>
      <c r="Q24" s="31">
        <v>1300000</v>
      </c>
      <c r="R24" s="310">
        <f>MAX(IF($C$8&lt;1,L24*$C$8,IF($C$8&lt;2,M24*$C$8,IF($C$8&lt;5,N24*$C$8,IF($C$8&lt;10,O24*$C$8,IF($C$8&lt;20,P24*$C$8,Q24*$C$8))))),IF($C$7&lt;300,L30*$C$7,IF($C$7&lt;500,M30*$C$7,IF($C$7&lt;1500,N30*$C$7,IF($C$7&lt;5000,O30*$C$7,P30*$C$7)))))</f>
        <v>4130000</v>
      </c>
    </row>
    <row r="25" spans="1:18" ht="19.5" customHeight="1" x14ac:dyDescent="0.25">
      <c r="A25" s="52">
        <v>8</v>
      </c>
      <c r="B25" s="7" t="s">
        <v>70</v>
      </c>
      <c r="C25" s="15"/>
      <c r="D25" s="7"/>
      <c r="E25" s="60"/>
      <c r="G25" s="292"/>
      <c r="H25" s="29" t="s">
        <v>35</v>
      </c>
      <c r="I25" s="253"/>
      <c r="J25" s="254"/>
      <c r="K25" s="255"/>
      <c r="L25" s="32">
        <v>2600000</v>
      </c>
      <c r="M25" s="32">
        <v>2300000</v>
      </c>
      <c r="N25" s="32">
        <v>2100000</v>
      </c>
      <c r="O25" s="32">
        <v>2000000</v>
      </c>
      <c r="P25" s="32">
        <v>1900000</v>
      </c>
      <c r="Q25" s="32">
        <v>1800000</v>
      </c>
      <c r="R25" s="310">
        <f>MAX(IF($C$8&lt;1,L25*$C$8,IF($C$8&lt;2,M25*$C$8,IF($C$8&lt;5,N25*$C$8,IF($C$8&lt;10,O25*$C$8,IF($C$8&lt;20,P25*$C$8,Q25*$C$8))))),IF($C$7&lt;300,L31*$C$7,IF($C$7&lt;500,M31*$C$7,IF($C$7&lt;1500,N31*$C$7,IF($C$7&lt;5000,O31*$C$7,P31*$C$7)))))</f>
        <v>6195000</v>
      </c>
    </row>
    <row r="26" spans="1:18" ht="19.5" customHeight="1" x14ac:dyDescent="0.25">
      <c r="A26" s="52">
        <v>5</v>
      </c>
      <c r="B26" s="7" t="s">
        <v>90</v>
      </c>
      <c r="C26" s="11">
        <v>0</v>
      </c>
      <c r="D26" s="7" t="s">
        <v>30</v>
      </c>
      <c r="E26" s="60"/>
      <c r="G26" s="292"/>
      <c r="H26" s="29" t="s">
        <v>37</v>
      </c>
      <c r="I26" s="250" t="s">
        <v>38</v>
      </c>
      <c r="J26" s="251"/>
      <c r="K26" s="252"/>
      <c r="L26" s="31">
        <v>1450000</v>
      </c>
      <c r="M26" s="31">
        <v>1400000</v>
      </c>
      <c r="N26" s="31">
        <v>1300000</v>
      </c>
      <c r="O26" s="31">
        <v>1200000</v>
      </c>
      <c r="P26" s="31">
        <v>1100000</v>
      </c>
      <c r="Q26" s="31">
        <v>1000000</v>
      </c>
      <c r="R26" s="310">
        <f>MAX(IF($C$8&lt;1,L26*$C$8,IF($C$8&lt;2,M26*$C$8,IF($C$8&lt;5,N26*$C$8,IF($C$8&lt;10,O26*$C$8,IF($C$8&lt;20,P26*$C$8,Q26*$C$8))))),IF($C$7&lt;300,L32*$C$7,IF($C$7&lt;500,M32*$C$7,IF($C$7&lt;1500,N32*$C$7,IF($C$7&lt;5000,O32*$C$7,P32*$C$7)))))</f>
        <v>4130000</v>
      </c>
    </row>
    <row r="27" spans="1:18" ht="19.5" customHeight="1" thickBot="1" x14ac:dyDescent="0.3">
      <c r="A27" s="52">
        <v>6</v>
      </c>
      <c r="B27" s="7" t="s">
        <v>91</v>
      </c>
      <c r="C27" s="10">
        <f>C18*C11%+(C18+C18*C11%)*C12%</f>
        <v>0</v>
      </c>
      <c r="D27" s="7"/>
      <c r="E27" s="109"/>
      <c r="G27" s="292"/>
      <c r="H27" s="30" t="s">
        <v>40</v>
      </c>
      <c r="I27" s="256"/>
      <c r="J27" s="257"/>
      <c r="K27" s="258"/>
      <c r="L27" s="33">
        <v>2150000</v>
      </c>
      <c r="M27" s="33">
        <v>1900000</v>
      </c>
      <c r="N27" s="33">
        <v>1800000</v>
      </c>
      <c r="O27" s="33">
        <v>1700000</v>
      </c>
      <c r="P27" s="33">
        <v>1600000</v>
      </c>
      <c r="Q27" s="33">
        <v>1500000</v>
      </c>
      <c r="R27" s="310">
        <f>MAX(IF($C$8&lt;1,L27*$C$8,IF($C$8&lt;2,M27*$C$8,IF($C$8&lt;5,N27*$C$8,IF($C$8&lt;10,O27*$C$8,IF($C$8&lt;20,P27*$C$8,Q27*$C$8))))),IF($C$7&lt;300,L33*$C$7,IF($C$7&lt;500,M33*$C$7,IF($C$7&lt;1500,N33*$C$7,IF($C$7&lt;5000,O33*$C$7,P33*$C$7)))))</f>
        <v>6195000</v>
      </c>
    </row>
    <row r="28" spans="1:18" ht="19.5" customHeight="1" thickTop="1" thickBot="1" x14ac:dyDescent="0.3">
      <c r="A28" s="52">
        <v>7</v>
      </c>
      <c r="B28" s="7" t="s">
        <v>92</v>
      </c>
      <c r="C28" s="10">
        <f>(C18+C27)*0.08</f>
        <v>3696834</v>
      </c>
      <c r="D28" s="7" t="s">
        <v>30</v>
      </c>
      <c r="E28" s="109"/>
      <c r="G28" s="292"/>
      <c r="H28" s="303" t="s">
        <v>73</v>
      </c>
      <c r="I28" s="303"/>
      <c r="J28" s="303"/>
      <c r="K28" s="303"/>
      <c r="L28" s="304" t="s">
        <v>19</v>
      </c>
      <c r="M28" s="304" t="s">
        <v>19</v>
      </c>
      <c r="N28" s="304" t="s">
        <v>19</v>
      </c>
      <c r="O28" s="304" t="s">
        <v>19</v>
      </c>
      <c r="P28" s="304" t="s">
        <v>19</v>
      </c>
      <c r="Q28" s="304" t="s">
        <v>19</v>
      </c>
      <c r="R28" s="308" t="s">
        <v>19</v>
      </c>
    </row>
    <row r="29" spans="1:18" ht="22.5" customHeight="1" thickTop="1" x14ac:dyDescent="0.25">
      <c r="A29" s="56"/>
      <c r="B29" s="57" t="s">
        <v>93</v>
      </c>
      <c r="C29" s="58" t="s">
        <v>94</v>
      </c>
      <c r="D29" s="58"/>
      <c r="E29" s="108"/>
      <c r="G29" s="292"/>
      <c r="H29" s="25" t="s">
        <v>75</v>
      </c>
      <c r="I29" s="261" t="s">
        <v>23</v>
      </c>
      <c r="J29" s="261"/>
      <c r="K29" s="262"/>
      <c r="L29" s="210" t="s">
        <v>76</v>
      </c>
      <c r="M29" s="211" t="s">
        <v>77</v>
      </c>
      <c r="N29" s="211" t="s">
        <v>78</v>
      </c>
      <c r="O29" s="211" t="s">
        <v>79</v>
      </c>
      <c r="P29" s="211" t="s">
        <v>80</v>
      </c>
      <c r="Q29" s="28"/>
      <c r="R29" s="294"/>
    </row>
    <row r="30" spans="1:18" ht="22.5" customHeight="1" x14ac:dyDescent="0.25">
      <c r="A30" s="61"/>
      <c r="B30" s="12" t="s">
        <v>96</v>
      </c>
      <c r="C30" s="13">
        <f>C21+C23+C22+C24+C27+C26-C25</f>
        <v>6130175</v>
      </c>
      <c r="D30" s="12" t="s">
        <v>30</v>
      </c>
      <c r="E30" s="110"/>
      <c r="G30" s="292"/>
      <c r="H30" s="29" t="s">
        <v>48</v>
      </c>
      <c r="I30" s="250" t="s">
        <v>32</v>
      </c>
      <c r="J30" s="251"/>
      <c r="K30" s="252"/>
      <c r="L30" s="31">
        <v>9000</v>
      </c>
      <c r="M30" s="31">
        <v>8000</v>
      </c>
      <c r="N30" s="31">
        <v>7000</v>
      </c>
      <c r="O30" s="31">
        <v>6000</v>
      </c>
      <c r="P30" s="31">
        <v>5000</v>
      </c>
      <c r="Q30" s="31"/>
      <c r="R30" s="294"/>
    </row>
    <row r="31" spans="1:18" ht="36.75" customHeight="1" x14ac:dyDescent="0.25">
      <c r="A31" s="61"/>
      <c r="B31" s="12" t="s">
        <v>97</v>
      </c>
      <c r="C31" s="13">
        <f>C28+C26*8%+(C22-C8*IF(C14="Quảng châu",1000000,700000))*0.08</f>
        <v>3874514</v>
      </c>
      <c r="D31" s="12" t="s">
        <v>30</v>
      </c>
      <c r="E31" s="94" t="s">
        <v>98</v>
      </c>
      <c r="G31" s="292"/>
      <c r="H31" s="29" t="s">
        <v>51</v>
      </c>
      <c r="I31" s="253"/>
      <c r="J31" s="254"/>
      <c r="K31" s="255"/>
      <c r="L31" s="32">
        <v>12500</v>
      </c>
      <c r="M31" s="32">
        <v>11500</v>
      </c>
      <c r="N31" s="32">
        <v>10500</v>
      </c>
      <c r="O31" s="32">
        <v>9500</v>
      </c>
      <c r="P31" s="32">
        <v>8500</v>
      </c>
      <c r="Q31" s="32"/>
      <c r="R31" s="294"/>
    </row>
    <row r="32" spans="1:18" ht="38.25" customHeight="1" x14ac:dyDescent="0.25">
      <c r="A32" s="76"/>
      <c r="B32" s="77" t="s">
        <v>99</v>
      </c>
      <c r="C32" s="78">
        <f>C9+C30</f>
        <v>48431425</v>
      </c>
      <c r="D32" s="77"/>
      <c r="E32" s="111"/>
      <c r="G32" s="292"/>
      <c r="H32" s="29" t="s">
        <v>53</v>
      </c>
      <c r="I32" s="250" t="s">
        <v>38</v>
      </c>
      <c r="J32" s="251"/>
      <c r="K32" s="252"/>
      <c r="L32" s="31">
        <v>9000</v>
      </c>
      <c r="M32" s="31">
        <v>8000</v>
      </c>
      <c r="N32" s="31">
        <v>7000</v>
      </c>
      <c r="O32" s="31">
        <v>6000</v>
      </c>
      <c r="P32" s="31">
        <v>5000</v>
      </c>
      <c r="Q32" s="31"/>
      <c r="R32" s="294"/>
    </row>
    <row r="33" spans="1:23" ht="33.75" customHeight="1" thickBot="1" x14ac:dyDescent="0.3">
      <c r="A33" s="98"/>
      <c r="B33" s="99" t="s">
        <v>119</v>
      </c>
      <c r="C33" s="100">
        <f>C32+C31</f>
        <v>52305939</v>
      </c>
      <c r="D33" s="99"/>
      <c r="E33" s="112"/>
      <c r="G33" s="292"/>
      <c r="H33" s="30" t="s">
        <v>55</v>
      </c>
      <c r="I33" s="256"/>
      <c r="J33" s="257"/>
      <c r="K33" s="258"/>
      <c r="L33" s="33">
        <v>12500</v>
      </c>
      <c r="M33" s="33">
        <v>11500</v>
      </c>
      <c r="N33" s="33">
        <v>10500</v>
      </c>
      <c r="O33" s="33">
        <v>9500</v>
      </c>
      <c r="P33" s="33">
        <v>8500</v>
      </c>
      <c r="Q33" s="33"/>
      <c r="R33" s="294"/>
    </row>
    <row r="34" spans="1:23" ht="33.75" customHeight="1" thickTop="1" x14ac:dyDescent="0.25">
      <c r="A34" s="52"/>
      <c r="B34" s="7" t="s">
        <v>120</v>
      </c>
      <c r="C34" s="15">
        <v>5000</v>
      </c>
      <c r="D34" s="97"/>
      <c r="E34" s="113"/>
      <c r="G34" s="292"/>
      <c r="H34" s="212"/>
      <c r="I34" s="213"/>
      <c r="J34" s="213"/>
      <c r="K34" s="213"/>
      <c r="L34" s="214"/>
      <c r="M34" s="214"/>
      <c r="N34" s="214"/>
      <c r="O34" s="214"/>
      <c r="P34" s="214"/>
      <c r="Q34" s="214"/>
      <c r="R34" s="294"/>
    </row>
    <row r="35" spans="1:23" ht="15.75" thickBot="1" x14ac:dyDescent="0.3">
      <c r="A35" s="76"/>
      <c r="B35" s="89" t="s">
        <v>100</v>
      </c>
      <c r="C35" s="93">
        <f>C18/C34/26368</f>
        <v>0.35050383040048538</v>
      </c>
      <c r="D35" s="77"/>
      <c r="E35" s="111">
        <f>C9+400000+306000+1409000</f>
        <v>44416250</v>
      </c>
      <c r="G35" s="311"/>
      <c r="H35" s="312"/>
      <c r="I35" s="313"/>
      <c r="J35" s="313"/>
      <c r="K35" s="313"/>
      <c r="L35" s="314"/>
      <c r="M35" s="314"/>
      <c r="N35" s="314"/>
      <c r="O35" s="314"/>
      <c r="P35" s="314"/>
      <c r="Q35" s="314"/>
      <c r="R35" s="315"/>
    </row>
    <row r="36" spans="1:23" x14ac:dyDescent="0.25">
      <c r="A36" s="76"/>
      <c r="B36" s="89" t="s">
        <v>101</v>
      </c>
      <c r="C36" s="93">
        <f>C32/C34</f>
        <v>9686.2849999999999</v>
      </c>
      <c r="D36" s="77"/>
      <c r="E36" s="111"/>
      <c r="H36" s="212"/>
      <c r="I36" s="213"/>
      <c r="J36" s="213"/>
      <c r="K36" s="213"/>
      <c r="L36" s="214"/>
      <c r="M36" s="214"/>
      <c r="N36" s="214"/>
      <c r="O36" s="214"/>
      <c r="P36" s="214"/>
      <c r="Q36" s="214"/>
    </row>
    <row r="37" spans="1:23" ht="88.5" customHeight="1" x14ac:dyDescent="0.25">
      <c r="A37" s="263" t="s">
        <v>72</v>
      </c>
      <c r="B37" s="264"/>
      <c r="C37" s="264"/>
      <c r="D37" s="264"/>
      <c r="E37" s="265"/>
      <c r="H37" s="212"/>
      <c r="I37" s="213"/>
      <c r="J37" s="213"/>
      <c r="K37" s="213"/>
      <c r="L37" s="214"/>
      <c r="M37" s="214"/>
      <c r="N37" s="214"/>
      <c r="O37" s="214"/>
      <c r="P37" s="214"/>
      <c r="Q37" s="214"/>
    </row>
    <row r="38" spans="1:23" ht="45" x14ac:dyDescent="0.25">
      <c r="A38" s="52">
        <v>1</v>
      </c>
      <c r="B38" s="7" t="s">
        <v>74</v>
      </c>
      <c r="C38" s="16">
        <v>42301250</v>
      </c>
      <c r="D38" s="7"/>
      <c r="E38" s="60" t="str">
        <f>"KH chuyển khoản cho Eureka thanh toán hộ cho nhà cung cấp số tiền "&amp;C38</f>
        <v>KH chuyển khoản cho Eureka thanh toán hộ cho nhà cung cấp số tiền 42301250</v>
      </c>
      <c r="H38" s="212"/>
      <c r="I38" s="213"/>
      <c r="J38" s="213"/>
      <c r="K38" s="213"/>
      <c r="L38" s="214"/>
      <c r="M38" s="214"/>
      <c r="N38" s="214"/>
      <c r="O38" s="214"/>
      <c r="P38" s="214"/>
      <c r="Q38" s="214"/>
    </row>
    <row r="39" spans="1:23" ht="30" x14ac:dyDescent="0.25">
      <c r="A39" s="52">
        <v>2</v>
      </c>
      <c r="B39" s="14" t="s">
        <v>81</v>
      </c>
      <c r="C39" s="43">
        <f>C33-C38</f>
        <v>10004689</v>
      </c>
      <c r="D39" s="7"/>
      <c r="E39" s="60" t="str">
        <f>IF(C39&gt;0,"KH chuyển khoản vào tài khoản công ty số tiền "&amp;C39,"Khách hàng đang còn thừa công nợ trên sổ sách số tiền "&amp;-C39)</f>
        <v>KH chuyển khoản vào tài khoản công ty số tiền 10004689</v>
      </c>
      <c r="H39" s="90"/>
      <c r="I39" s="91"/>
      <c r="J39" s="91"/>
      <c r="K39" s="91"/>
      <c r="L39" s="92"/>
      <c r="N39" s="92"/>
      <c r="O39" s="92"/>
      <c r="P39" s="92"/>
      <c r="Q39" s="92"/>
    </row>
    <row r="40" spans="1:23" x14ac:dyDescent="0.25">
      <c r="C40" t="s">
        <v>106</v>
      </c>
      <c r="P40" s="3"/>
      <c r="Q40" s="3"/>
      <c r="R40" s="3"/>
    </row>
    <row r="41" spans="1:23" x14ac:dyDescent="0.25">
      <c r="P41" s="3"/>
      <c r="Q41" s="3"/>
      <c r="R41" s="3"/>
    </row>
    <row r="42" spans="1:23" ht="30" x14ac:dyDescent="0.25">
      <c r="B42" s="198" t="s">
        <v>254</v>
      </c>
      <c r="C42" s="199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203" t="s">
        <v>121</v>
      </c>
      <c r="W42" s="200">
        <v>26368</v>
      </c>
    </row>
    <row r="43" spans="1:23" ht="75" x14ac:dyDescent="0.25">
      <c r="B43" s="201" t="s">
        <v>122</v>
      </c>
      <c r="C43" s="202" t="s">
        <v>123</v>
      </c>
      <c r="D43" s="202" t="s">
        <v>120</v>
      </c>
      <c r="E43" s="225" t="s">
        <v>124</v>
      </c>
      <c r="F43" s="201" t="s">
        <v>125</v>
      </c>
      <c r="G43" s="185" t="s">
        <v>126</v>
      </c>
      <c r="H43" s="217" t="s">
        <v>127</v>
      </c>
      <c r="I43" s="217" t="s">
        <v>128</v>
      </c>
      <c r="J43" s="221" t="s">
        <v>129</v>
      </c>
      <c r="K43" s="222" t="s">
        <v>130</v>
      </c>
      <c r="L43" s="222" t="s">
        <v>131</v>
      </c>
      <c r="M43" s="229" t="s">
        <v>132</v>
      </c>
      <c r="N43" s="232" t="s">
        <v>133</v>
      </c>
      <c r="O43" s="232" t="s">
        <v>134</v>
      </c>
      <c r="P43" s="233" t="s">
        <v>135</v>
      </c>
      <c r="Q43" s="237" t="s">
        <v>136</v>
      </c>
      <c r="R43" s="238" t="s">
        <v>137</v>
      </c>
      <c r="S43" s="241" t="s">
        <v>138</v>
      </c>
      <c r="T43" s="195" t="s">
        <v>139</v>
      </c>
      <c r="U43" s="195" t="s">
        <v>140</v>
      </c>
      <c r="V43" s="244" t="s">
        <v>141</v>
      </c>
      <c r="W43" s="203" t="s">
        <v>142</v>
      </c>
    </row>
    <row r="44" spans="1:23" x14ac:dyDescent="0.25">
      <c r="B44" s="200" t="s">
        <v>143</v>
      </c>
      <c r="C44" s="200"/>
      <c r="D44" s="200"/>
      <c r="E44" s="226">
        <f t="shared" ref="E44:K44" si="0">SUM(E45:E46)</f>
        <v>42301250</v>
      </c>
      <c r="F44" s="204">
        <f t="shared" si="0"/>
        <v>4130000</v>
      </c>
      <c r="G44" s="218">
        <f t="shared" si="0"/>
        <v>800000</v>
      </c>
      <c r="H44" s="218">
        <f t="shared" si="0"/>
        <v>0</v>
      </c>
      <c r="I44" s="218">
        <f t="shared" si="0"/>
        <v>1200175</v>
      </c>
      <c r="J44" s="218">
        <f t="shared" si="0"/>
        <v>1909000</v>
      </c>
      <c r="K44" s="223">
        <f t="shared" si="0"/>
        <v>2221000</v>
      </c>
      <c r="L44" s="223"/>
      <c r="M44" s="230">
        <f>SUM(M45:M46)</f>
        <v>46210425</v>
      </c>
      <c r="N44" s="234"/>
      <c r="O44" s="234"/>
      <c r="P44" s="235">
        <v>0.08</v>
      </c>
      <c r="Q44" s="239"/>
      <c r="R44" s="239">
        <f>SUM(R45:R46)</f>
        <v>3874514</v>
      </c>
      <c r="S44" s="242">
        <f>SUM(S45:S46)</f>
        <v>6130175</v>
      </c>
      <c r="T44" s="245">
        <f>SUM(T45:T46)</f>
        <v>52305939</v>
      </c>
      <c r="U44" s="245">
        <f>SUM(U45:U46)</f>
        <v>10004689</v>
      </c>
      <c r="V44" s="248"/>
      <c r="W44" s="198"/>
    </row>
    <row r="45" spans="1:23" x14ac:dyDescent="0.25">
      <c r="B45" s="198"/>
      <c r="C45" s="198" t="s">
        <v>144</v>
      </c>
      <c r="D45" s="198">
        <v>5000</v>
      </c>
      <c r="E45" s="227">
        <f>6500*3935</f>
        <v>25577500</v>
      </c>
      <c r="F45" s="206">
        <v>2814000</v>
      </c>
      <c r="G45" s="219">
        <v>400000</v>
      </c>
      <c r="H45" s="220"/>
      <c r="I45" s="219">
        <f>3935*190</f>
        <v>747650</v>
      </c>
      <c r="J45" s="219">
        <f>1.603*IF($C$14="Quảng châu",1000000,700000)</f>
        <v>1603000</v>
      </c>
      <c r="K45" s="224">
        <f>F45-J45</f>
        <v>1211000</v>
      </c>
      <c r="L45" s="224"/>
      <c r="M45" s="231">
        <f>E45+G45+H45+I45+J45</f>
        <v>28328150</v>
      </c>
      <c r="N45" s="236">
        <f>(E45+G45+H45+I45+J45)*$C$11%+((E45+G45+H45+I45+J45)+(E45+G45+H45+I45+J45)*$C$11%)*$C$12%</f>
        <v>0</v>
      </c>
      <c r="O45" s="236">
        <v>0</v>
      </c>
      <c r="P45" s="235">
        <v>0.08</v>
      </c>
      <c r="Q45" s="239">
        <f>M45*N45+(M45+M45*N45)*O45</f>
        <v>0</v>
      </c>
      <c r="R45" s="240">
        <f>(M45+Q45)*P45+(K45+L45)*P45</f>
        <v>2363132</v>
      </c>
      <c r="S45" s="243">
        <f>F45+G45+H45+I45+N45</f>
        <v>3961650</v>
      </c>
      <c r="T45" s="246">
        <f>R45/P45+R45</f>
        <v>31902282</v>
      </c>
      <c r="U45" s="246">
        <f>T45-E45</f>
        <v>6324782</v>
      </c>
      <c r="V45" s="249">
        <f>M45/D45/$W$42</f>
        <v>0.21486764259708738</v>
      </c>
      <c r="W45" s="205">
        <f>(T45-R45)/D45</f>
        <v>5907.83</v>
      </c>
    </row>
    <row r="46" spans="1:23" x14ac:dyDescent="0.25">
      <c r="B46" s="198"/>
      <c r="C46" s="198" t="s">
        <v>145</v>
      </c>
      <c r="D46" s="198">
        <v>5000</v>
      </c>
      <c r="E46" s="228">
        <f>4250*3935</f>
        <v>16723750</v>
      </c>
      <c r="F46" s="206">
        <v>1316000</v>
      </c>
      <c r="G46" s="219">
        <v>400000</v>
      </c>
      <c r="H46" s="219">
        <v>0</v>
      </c>
      <c r="I46" s="219">
        <f>115*3935</f>
        <v>452525</v>
      </c>
      <c r="J46" s="219">
        <f>0.306*IF($C$14="Quảng châu",1000000,700000)</f>
        <v>306000</v>
      </c>
      <c r="K46" s="224">
        <f>F46-J46</f>
        <v>1010000</v>
      </c>
      <c r="L46" s="224"/>
      <c r="M46" s="231">
        <f>E46+G46+H46+I46+J46</f>
        <v>17882275</v>
      </c>
      <c r="N46" s="236">
        <f>(E46+G46+H46+I46+J46)*$C$11%+((E46+G46+H46+I46+J46)+(E46+G46+H46+I46+J46)*$C$11%)*$C$12%</f>
        <v>0</v>
      </c>
      <c r="O46" s="236">
        <v>0</v>
      </c>
      <c r="P46" s="235">
        <v>0.08</v>
      </c>
      <c r="Q46" s="239">
        <f t="shared" ref="Q46:Q47" si="1">M46*N46+(M46+M46*N46)*O46</f>
        <v>0</v>
      </c>
      <c r="R46" s="240">
        <f>(M46+Q46)*P46+(K46+L46)*P46</f>
        <v>1511382</v>
      </c>
      <c r="S46" s="243">
        <f>F46+G46+H46+I46+N46</f>
        <v>2168525</v>
      </c>
      <c r="T46" s="246">
        <f>R46/P46+R46</f>
        <v>20403657</v>
      </c>
      <c r="U46" s="246">
        <f>T46-E46</f>
        <v>3679907</v>
      </c>
      <c r="V46" s="249">
        <f>M46/D46/$W$42</f>
        <v>0.13563618780339806</v>
      </c>
      <c r="W46" s="205">
        <f>(T46-R46)/D46</f>
        <v>3778.4549999999999</v>
      </c>
    </row>
    <row r="47" spans="1:23" x14ac:dyDescent="0.25"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215"/>
      <c r="Q47" s="204">
        <f t="shared" si="1"/>
        <v>0</v>
      </c>
      <c r="R47" s="207"/>
      <c r="S47" s="207"/>
      <c r="T47" s="198"/>
      <c r="U47" s="198"/>
      <c r="V47" s="247"/>
      <c r="W47" s="198"/>
    </row>
    <row r="48" spans="1:23" x14ac:dyDescent="0.25">
      <c r="H48" s="1"/>
      <c r="I48" s="1"/>
      <c r="J48" s="1"/>
      <c r="P48" s="216"/>
    </row>
    <row r="49" spans="2:23" ht="30" x14ac:dyDescent="0.25">
      <c r="B49" s="198" t="s">
        <v>255</v>
      </c>
      <c r="C49" s="199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215"/>
      <c r="Q49" s="198"/>
      <c r="R49" s="198"/>
      <c r="S49" s="198"/>
      <c r="T49" s="198"/>
      <c r="U49" s="198"/>
      <c r="V49" s="203" t="s">
        <v>121</v>
      </c>
      <c r="W49" s="200">
        <v>26368</v>
      </c>
    </row>
    <row r="50" spans="2:23" ht="75" x14ac:dyDescent="0.25">
      <c r="B50" s="201" t="s">
        <v>122</v>
      </c>
      <c r="C50" s="202" t="s">
        <v>123</v>
      </c>
      <c r="D50" s="202" t="s">
        <v>120</v>
      </c>
      <c r="E50" s="225" t="s">
        <v>124</v>
      </c>
      <c r="F50" s="201" t="s">
        <v>125</v>
      </c>
      <c r="G50" s="185" t="s">
        <v>126</v>
      </c>
      <c r="H50" s="217" t="s">
        <v>127</v>
      </c>
      <c r="I50" s="217" t="s">
        <v>128</v>
      </c>
      <c r="J50" s="221" t="s">
        <v>129</v>
      </c>
      <c r="K50" s="222" t="s">
        <v>130</v>
      </c>
      <c r="L50" s="222" t="s">
        <v>131</v>
      </c>
      <c r="M50" s="229" t="s">
        <v>132</v>
      </c>
      <c r="N50" s="232" t="s">
        <v>133</v>
      </c>
      <c r="O50" s="232" t="s">
        <v>134</v>
      </c>
      <c r="P50" s="233" t="s">
        <v>135</v>
      </c>
      <c r="Q50" s="237" t="s">
        <v>136</v>
      </c>
      <c r="R50" s="238" t="s">
        <v>137</v>
      </c>
      <c r="S50" s="241" t="s">
        <v>138</v>
      </c>
      <c r="T50" s="195" t="s">
        <v>139</v>
      </c>
      <c r="U50" s="195" t="s">
        <v>140</v>
      </c>
      <c r="V50" s="244" t="s">
        <v>141</v>
      </c>
      <c r="W50" s="203" t="s">
        <v>142</v>
      </c>
    </row>
    <row r="51" spans="2:23" x14ac:dyDescent="0.25">
      <c r="B51" s="200" t="s">
        <v>143</v>
      </c>
      <c r="C51" s="200"/>
      <c r="D51" s="200"/>
      <c r="E51" s="226">
        <f>SUM(E52:E53)</f>
        <v>42301250</v>
      </c>
      <c r="F51" s="204">
        <f>C22</f>
        <v>4130000</v>
      </c>
      <c r="G51" s="218">
        <f>C21</f>
        <v>800000</v>
      </c>
      <c r="H51" s="218">
        <f>C23</f>
        <v>0</v>
      </c>
      <c r="I51" s="218">
        <f>SUM(I52:I53)</f>
        <v>1200175</v>
      </c>
      <c r="J51" s="218">
        <f>SUM(J52:J53)</f>
        <v>1909000</v>
      </c>
      <c r="K51" s="223">
        <f>SUM(K52:K53)</f>
        <v>2221000</v>
      </c>
      <c r="L51" s="223"/>
      <c r="M51" s="230">
        <f>SUM(M52:M53)</f>
        <v>46210425</v>
      </c>
      <c r="N51" s="234"/>
      <c r="O51" s="234"/>
      <c r="P51" s="235">
        <v>0.08</v>
      </c>
      <c r="Q51" s="239">
        <f>M44*N44+(M44+M44*N44)*O44</f>
        <v>0</v>
      </c>
      <c r="R51" s="239">
        <f>SUM(R52:R53)</f>
        <v>3874514</v>
      </c>
      <c r="S51" s="242">
        <f>SUM(S52:S53)</f>
        <v>6130175</v>
      </c>
      <c r="T51" s="245">
        <f>SUM(T52:T53)</f>
        <v>52305939</v>
      </c>
      <c r="U51" s="245">
        <f>SUM(U52:U53)</f>
        <v>10004689</v>
      </c>
      <c r="V51" s="248"/>
      <c r="W51" s="198"/>
    </row>
    <row r="52" spans="2:23" x14ac:dyDescent="0.25">
      <c r="B52" s="198"/>
      <c r="C52" s="198" t="s">
        <v>144</v>
      </c>
      <c r="D52" s="198">
        <v>5000</v>
      </c>
      <c r="E52" s="227">
        <f>6500*3935</f>
        <v>25577500</v>
      </c>
      <c r="F52" s="206">
        <f>E52/$E$51*$F$51</f>
        <v>2497209.3023255812</v>
      </c>
      <c r="G52" s="219">
        <f>IF($C$13=$H$6,$I$6,$I$5)</f>
        <v>400000</v>
      </c>
      <c r="H52" s="220"/>
      <c r="I52" s="219">
        <f>3935*190</f>
        <v>747650</v>
      </c>
      <c r="J52" s="219">
        <f>F52/$F$51*$C$8*IF($C$14="Quảng châu",1000000,700000)</f>
        <v>1154279.0697674418</v>
      </c>
      <c r="K52" s="224">
        <f>F52-J52</f>
        <v>1342930.2325581394</v>
      </c>
      <c r="L52" s="224"/>
      <c r="M52" s="231">
        <f>E52+G52+H52+I52+J52</f>
        <v>27879429.069767442</v>
      </c>
      <c r="N52" s="236">
        <f>(E52+G52+H52+I52+J52)*$C$11%+((E52+G52+H52+I52+J52)+(E52+G52+H52+I52+J52)*$C$11%)*$C$12%</f>
        <v>0</v>
      </c>
      <c r="O52" s="236">
        <v>0</v>
      </c>
      <c r="P52" s="235">
        <v>0.08</v>
      </c>
      <c r="Q52" s="239">
        <f>M52*N52+(M52+M52*N52)*O52</f>
        <v>0</v>
      </c>
      <c r="R52" s="240">
        <f>(M52+Q52)*P52+(K52+L52)*P52</f>
        <v>2337788.7441860465</v>
      </c>
      <c r="S52" s="243">
        <f>F52+G52+H52+I52+N52</f>
        <v>3644859.3023255812</v>
      </c>
      <c r="T52" s="246">
        <f>R52/P52+R52</f>
        <v>31560148.046511628</v>
      </c>
      <c r="U52" s="246">
        <f>T52-E52</f>
        <v>5982648.0465116277</v>
      </c>
      <c r="V52" s="249">
        <f>M52/D52/$W$49</f>
        <v>0.21146411612384286</v>
      </c>
      <c r="W52" s="205">
        <f>(T52-R52)/D52</f>
        <v>5844.4718604651162</v>
      </c>
    </row>
    <row r="53" spans="2:23" x14ac:dyDescent="0.25">
      <c r="B53" s="198"/>
      <c r="C53" s="198" t="s">
        <v>145</v>
      </c>
      <c r="D53" s="198">
        <v>5000</v>
      </c>
      <c r="E53" s="228">
        <f>4250*3935</f>
        <v>16723750</v>
      </c>
      <c r="F53" s="206">
        <f>E53/$E$51*$F$51</f>
        <v>1632790.6976744186</v>
      </c>
      <c r="G53" s="219">
        <f>IF($C$13=$H$6,$I$6,$I$5)</f>
        <v>400000</v>
      </c>
      <c r="H53" s="219">
        <v>0</v>
      </c>
      <c r="I53" s="219">
        <f>115*3935</f>
        <v>452525</v>
      </c>
      <c r="J53" s="219">
        <f>F53/$F$51*$C$8*IF($C$14="Quảng châu",1000000,700000)</f>
        <v>754720.93023255817</v>
      </c>
      <c r="K53" s="224">
        <f>F53-J53</f>
        <v>878069.7674418604</v>
      </c>
      <c r="L53" s="224"/>
      <c r="M53" s="231">
        <f>E53+G53+H53+I53+J53</f>
        <v>18330995.930232558</v>
      </c>
      <c r="N53" s="236">
        <f>(E53+G53+H53+I53+J53)*$C$11%+((E53+G53+H53+I53+J53)+(E53+G53+H53+I53+J53)*$C$11%)*$C$12%</f>
        <v>0</v>
      </c>
      <c r="O53" s="236">
        <v>0</v>
      </c>
      <c r="P53" s="235">
        <v>0.08</v>
      </c>
      <c r="Q53" s="239">
        <f>M53*N53+(M53+M53*N53)*O53</f>
        <v>0</v>
      </c>
      <c r="R53" s="240">
        <f>(M53+Q53)*P53+(K53+L53)*P53</f>
        <v>1536725.2558139535</v>
      </c>
      <c r="S53" s="243">
        <f>F53+G53+H53+I53+N53</f>
        <v>2485315.6976744188</v>
      </c>
      <c r="T53" s="246">
        <f>R53/P53+R53</f>
        <v>20745790.953488372</v>
      </c>
      <c r="U53" s="246">
        <f>T53-E53</f>
        <v>4022040.9534883723</v>
      </c>
      <c r="V53" s="249">
        <f>M53/D53/$W$49</f>
        <v>0.13903971427664258</v>
      </c>
      <c r="W53" s="205">
        <f>(T53-R53)/D53</f>
        <v>3841.8131395348842</v>
      </c>
    </row>
    <row r="54" spans="2:23" x14ac:dyDescent="0.25"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215"/>
      <c r="Q54" s="204">
        <f t="shared" ref="Q54" si="2">M47*N47+(M47+M47*N47)*O47</f>
        <v>0</v>
      </c>
      <c r="R54" s="207"/>
      <c r="S54" s="207"/>
      <c r="T54" s="198"/>
      <c r="U54" s="198"/>
      <c r="V54" s="247"/>
      <c r="W54" s="198"/>
    </row>
  </sheetData>
  <mergeCells count="17">
    <mergeCell ref="B1:E1"/>
    <mergeCell ref="I14:J14"/>
    <mergeCell ref="A2:E2"/>
    <mergeCell ref="H7:O7"/>
    <mergeCell ref="I8:J8"/>
    <mergeCell ref="I9:J10"/>
    <mergeCell ref="I11:J12"/>
    <mergeCell ref="I29:K29"/>
    <mergeCell ref="I30:K31"/>
    <mergeCell ref="I32:K33"/>
    <mergeCell ref="A37:E37"/>
    <mergeCell ref="I15:J16"/>
    <mergeCell ref="I17:J18"/>
    <mergeCell ref="H22:O22"/>
    <mergeCell ref="I23:K23"/>
    <mergeCell ref="I24:K25"/>
    <mergeCell ref="I26:K27"/>
  </mergeCells>
  <dataValidations count="4">
    <dataValidation type="list" allowBlank="1" showInputMessage="1" showErrorMessage="1" sqref="C15" xr:uid="{7F4757A0-A462-45F5-9313-6809138F21EE}">
      <formula1>"Hà Nội,Hồ Chí Minh"</formula1>
    </dataValidation>
    <dataValidation type="list" allowBlank="1" showInputMessage="1" showErrorMessage="1" sqref="C14" xr:uid="{7FEDADEF-C6E1-4305-B97B-8EB3BA46A62C}">
      <formula1>"Quảng Châu,Bằng Tường"</formula1>
    </dataValidation>
    <dataValidation type="list" allowBlank="1" showInputMessage="1" showErrorMessage="1" sqref="H4 C13" xr:uid="{8329C794-ACB6-4D19-A0C2-EF73E29668F0}">
      <formula1>"Bộ,Biển"</formula1>
    </dataValidation>
    <dataValidation type="list" allowBlank="1" showInputMessage="1" showErrorMessage="1" sqref="C4" xr:uid="{8899D57E-9468-4DB4-9753-94CEA0C15C47}">
      <formula1>"Elite,Premium,Pro,Basic"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1786-0726-4560-8275-A46ACECCBB5E}">
  <sheetPr>
    <pageSetUpPr fitToPage="1"/>
  </sheetPr>
  <dimension ref="A1:T60"/>
  <sheetViews>
    <sheetView showGridLines="0" tabSelected="1" view="pageBreakPreview" topLeftCell="A38" zoomScale="106" zoomScaleNormal="100" zoomScaleSheetLayoutView="106" workbookViewId="0">
      <selection activeCell="A56" sqref="A56"/>
    </sheetView>
  </sheetViews>
  <sheetFormatPr defaultColWidth="12.5703125" defaultRowHeight="15" x14ac:dyDescent="0.25"/>
  <cols>
    <col min="1" max="1" width="12.28515625" customWidth="1"/>
    <col min="2" max="2" width="31.28515625" customWidth="1"/>
    <col min="3" max="3" width="13" customWidth="1"/>
    <col min="4" max="4" width="11.7109375" customWidth="1"/>
    <col min="5" max="6" width="12.7109375" customWidth="1"/>
    <col min="7" max="7" width="13.5703125" customWidth="1"/>
    <col min="8" max="8" width="15.5703125" customWidth="1"/>
    <col min="9" max="9" width="14.42578125" customWidth="1"/>
    <col min="10" max="10" width="27.140625" customWidth="1"/>
    <col min="11" max="11" width="12.5703125" style="167" customWidth="1"/>
    <col min="12" max="12" width="14.140625" customWidth="1"/>
    <col min="13" max="13" width="13.5703125" customWidth="1"/>
    <col min="14" max="14" width="17" style="70" customWidth="1"/>
    <col min="15" max="15" width="15.42578125" customWidth="1"/>
    <col min="16" max="16" width="21" customWidth="1"/>
    <col min="17" max="17" width="15.5703125" customWidth="1"/>
    <col min="18" max="18" width="13.28515625" customWidth="1"/>
    <col min="19" max="19" width="14" customWidth="1"/>
    <col min="20" max="21" width="12.140625" customWidth="1"/>
    <col min="22" max="26" width="7.5703125" customWidth="1"/>
  </cols>
  <sheetData>
    <row r="1" spans="1:10" x14ac:dyDescent="0.25">
      <c r="A1" s="282"/>
      <c r="B1" s="116"/>
      <c r="C1" s="117" t="s">
        <v>146</v>
      </c>
    </row>
    <row r="2" spans="1:10" x14ac:dyDescent="0.25">
      <c r="A2" s="283"/>
      <c r="B2" s="116"/>
      <c r="C2" s="116" t="s">
        <v>147</v>
      </c>
    </row>
    <row r="3" spans="1:10" x14ac:dyDescent="0.25">
      <c r="A3" s="283"/>
      <c r="B3" s="116"/>
      <c r="C3" s="116" t="s">
        <v>148</v>
      </c>
      <c r="D3" s="116"/>
      <c r="E3" s="116"/>
      <c r="F3" s="116"/>
      <c r="G3" s="116"/>
    </row>
    <row r="4" spans="1:10" x14ac:dyDescent="0.25">
      <c r="A4" s="118"/>
      <c r="B4" s="116"/>
      <c r="C4" s="116"/>
      <c r="D4" s="116"/>
      <c r="E4" s="116"/>
      <c r="F4" s="116"/>
      <c r="G4" s="116"/>
      <c r="J4" s="116"/>
    </row>
    <row r="5" spans="1:10" x14ac:dyDescent="0.25">
      <c r="A5" s="118" t="s">
        <v>149</v>
      </c>
      <c r="B5" s="116"/>
      <c r="D5" s="116" t="s">
        <v>150</v>
      </c>
      <c r="F5" s="116"/>
      <c r="G5" s="116"/>
      <c r="H5" s="119"/>
      <c r="I5" s="116"/>
      <c r="J5" s="116"/>
    </row>
    <row r="6" spans="1:10" x14ac:dyDescent="0.25">
      <c r="A6" s="118" t="s">
        <v>151</v>
      </c>
      <c r="B6" s="116"/>
      <c r="D6" s="116" t="s">
        <v>152</v>
      </c>
      <c r="E6" s="116"/>
      <c r="H6" s="119"/>
      <c r="I6" s="116"/>
    </row>
    <row r="7" spans="1:10" x14ac:dyDescent="0.25">
      <c r="A7" s="118" t="s">
        <v>153</v>
      </c>
      <c r="B7" s="120"/>
      <c r="D7" s="116" t="s">
        <v>154</v>
      </c>
      <c r="H7" s="119"/>
      <c r="I7" s="121"/>
    </row>
    <row r="8" spans="1:10" x14ac:dyDescent="0.25">
      <c r="A8" s="118"/>
      <c r="B8" s="116"/>
      <c r="D8" s="116" t="s">
        <v>155</v>
      </c>
      <c r="H8" s="122"/>
      <c r="I8" s="123"/>
    </row>
    <row r="9" spans="1:10" x14ac:dyDescent="0.25">
      <c r="A9" s="118"/>
      <c r="B9" s="116"/>
      <c r="D9" s="116" t="s">
        <v>156</v>
      </c>
    </row>
    <row r="10" spans="1:10" x14ac:dyDescent="0.25">
      <c r="A10" s="116"/>
    </row>
    <row r="11" spans="1:10" ht="20.25" x14ac:dyDescent="0.3">
      <c r="A11" s="284" t="s">
        <v>157</v>
      </c>
      <c r="B11" s="284"/>
      <c r="C11" s="284"/>
      <c r="D11" s="284"/>
      <c r="E11" s="284"/>
      <c r="F11" s="284"/>
      <c r="G11" s="284"/>
      <c r="H11" s="284"/>
      <c r="I11" s="284"/>
      <c r="J11" s="124"/>
    </row>
    <row r="12" spans="1:10" x14ac:dyDescent="0.25">
      <c r="A12" s="118" t="s">
        <v>158</v>
      </c>
      <c r="B12" s="116" t="s">
        <v>159</v>
      </c>
      <c r="H12" s="119" t="s">
        <v>160</v>
      </c>
      <c r="I12" s="116">
        <v>26500</v>
      </c>
    </row>
    <row r="13" spans="1:10" x14ac:dyDescent="0.25">
      <c r="A13" s="116" t="s">
        <v>161</v>
      </c>
      <c r="H13" s="119" t="s">
        <v>162</v>
      </c>
      <c r="I13" s="116">
        <v>3970</v>
      </c>
    </row>
    <row r="14" spans="1:10" x14ac:dyDescent="0.25">
      <c r="A14" s="116" t="s">
        <v>163</v>
      </c>
      <c r="H14" s="119" t="s">
        <v>164</v>
      </c>
      <c r="I14" s="125">
        <v>46127</v>
      </c>
    </row>
    <row r="15" spans="1:10" x14ac:dyDescent="0.25">
      <c r="A15" s="117" t="s">
        <v>165</v>
      </c>
      <c r="H15" s="122" t="s">
        <v>166</v>
      </c>
      <c r="I15" s="126">
        <v>46134</v>
      </c>
    </row>
    <row r="16" spans="1:10" x14ac:dyDescent="0.25">
      <c r="A16" s="118" t="s">
        <v>167</v>
      </c>
      <c r="B16" s="116" t="s">
        <v>168</v>
      </c>
      <c r="C16" s="116" t="s">
        <v>169</v>
      </c>
      <c r="D16" s="116"/>
      <c r="E16" s="116" t="s">
        <v>170</v>
      </c>
      <c r="F16" s="116"/>
      <c r="G16" s="116"/>
      <c r="H16" s="116"/>
      <c r="I16" s="119"/>
      <c r="J16" s="116"/>
    </row>
    <row r="17" spans="1:14" x14ac:dyDescent="0.25">
      <c r="A17" s="118" t="s">
        <v>171</v>
      </c>
      <c r="B17" s="116">
        <v>1</v>
      </c>
      <c r="C17" s="116" t="s">
        <v>172</v>
      </c>
      <c r="D17" s="116"/>
      <c r="E17" s="116" t="s">
        <v>173</v>
      </c>
      <c r="F17" s="116"/>
      <c r="G17" s="116"/>
      <c r="H17" s="116"/>
      <c r="I17" s="119"/>
      <c r="J17" s="116"/>
    </row>
    <row r="18" spans="1:14" x14ac:dyDescent="0.25">
      <c r="A18" s="285" t="s">
        <v>174</v>
      </c>
      <c r="B18" s="287" t="s">
        <v>175</v>
      </c>
      <c r="C18" s="287" t="s">
        <v>176</v>
      </c>
      <c r="D18" s="127" t="s">
        <v>9</v>
      </c>
      <c r="E18" s="127" t="s">
        <v>9</v>
      </c>
      <c r="F18" s="127" t="s">
        <v>9</v>
      </c>
      <c r="G18" s="287" t="s">
        <v>177</v>
      </c>
      <c r="H18" s="287" t="s">
        <v>178</v>
      </c>
      <c r="I18" s="128" t="s">
        <v>179</v>
      </c>
      <c r="J18" s="278" t="s">
        <v>180</v>
      </c>
      <c r="N18"/>
    </row>
    <row r="19" spans="1:14" x14ac:dyDescent="0.25">
      <c r="A19" s="286"/>
      <c r="B19" s="286"/>
      <c r="C19" s="286"/>
      <c r="D19" s="127" t="s">
        <v>181</v>
      </c>
      <c r="E19" s="127" t="s">
        <v>182</v>
      </c>
      <c r="F19" s="127" t="s">
        <v>183</v>
      </c>
      <c r="G19" s="286"/>
      <c r="H19" s="286"/>
      <c r="I19" s="128" t="s">
        <v>184</v>
      </c>
      <c r="J19" s="279"/>
      <c r="N19"/>
    </row>
    <row r="20" spans="1:14" x14ac:dyDescent="0.25">
      <c r="A20" s="280" t="s">
        <v>185</v>
      </c>
      <c r="B20" s="281"/>
      <c r="C20" s="281"/>
      <c r="D20" s="281"/>
      <c r="E20" s="281"/>
      <c r="F20" s="281"/>
      <c r="G20" s="129">
        <f>G21+G35+G34+G37+G44</f>
        <v>33462500</v>
      </c>
      <c r="H20" s="130">
        <f>H21+H35+H34+H37+H44</f>
        <v>111800.05</v>
      </c>
      <c r="I20" s="131">
        <f>I23+I35+I37+I46+I39</f>
        <v>70788380</v>
      </c>
      <c r="J20" s="132"/>
      <c r="N20"/>
    </row>
    <row r="21" spans="1:14" ht="24" x14ac:dyDescent="0.25">
      <c r="A21" s="133"/>
      <c r="B21" s="134" t="s">
        <v>186</v>
      </c>
      <c r="C21" s="135">
        <v>1000</v>
      </c>
      <c r="D21" s="136">
        <v>50</v>
      </c>
      <c r="E21" s="136"/>
      <c r="F21" s="136"/>
      <c r="G21" s="136"/>
      <c r="H21" s="137">
        <v>0.05</v>
      </c>
      <c r="I21" s="136"/>
      <c r="J21" s="138" t="s">
        <v>187</v>
      </c>
      <c r="N21"/>
    </row>
    <row r="22" spans="1:14" x14ac:dyDescent="0.25">
      <c r="A22" s="133"/>
      <c r="B22" s="134" t="s">
        <v>188</v>
      </c>
      <c r="C22" s="135"/>
      <c r="D22" s="136"/>
      <c r="E22" s="136"/>
      <c r="F22" s="136"/>
      <c r="G22" s="136"/>
      <c r="H22" s="137">
        <v>0.1</v>
      </c>
      <c r="I22" s="136"/>
      <c r="J22" s="139"/>
      <c r="N22"/>
    </row>
    <row r="23" spans="1:14" s="145" customFormat="1" x14ac:dyDescent="0.25">
      <c r="A23" s="140">
        <v>1</v>
      </c>
      <c r="B23" s="141" t="s">
        <v>189</v>
      </c>
      <c r="C23" s="142"/>
      <c r="D23" s="143"/>
      <c r="E23" s="143"/>
      <c r="F23" s="143"/>
      <c r="G23" s="143">
        <f t="shared" ref="G23:H23" si="0">SUM(G24:G34)</f>
        <v>30235580</v>
      </c>
      <c r="H23" s="143">
        <f t="shared" si="0"/>
        <v>0</v>
      </c>
      <c r="I23" s="143">
        <f>SUM(I24:I34)</f>
        <v>30235580</v>
      </c>
      <c r="J23" s="144"/>
      <c r="K23" s="168"/>
    </row>
    <row r="24" spans="1:14" ht="36" x14ac:dyDescent="0.25">
      <c r="A24" s="146"/>
      <c r="B24" s="147" t="s">
        <v>190</v>
      </c>
      <c r="C24" s="148">
        <f>$B$17</f>
        <v>1</v>
      </c>
      <c r="D24" s="149">
        <v>132</v>
      </c>
      <c r="E24" s="149"/>
      <c r="F24" s="149"/>
      <c r="G24" s="149">
        <f t="shared" ref="G24:G34" si="1">C24*(D24*$I$12+E24*$I$13+F24)</f>
        <v>3498000</v>
      </c>
      <c r="H24" s="149"/>
      <c r="I24" s="150">
        <f>G24+H24</f>
        <v>3498000</v>
      </c>
      <c r="J24" s="139" t="s">
        <v>191</v>
      </c>
      <c r="K24" s="276" t="s">
        <v>192</v>
      </c>
      <c r="L24" s="277"/>
      <c r="N24"/>
    </row>
    <row r="25" spans="1:14" ht="36" x14ac:dyDescent="0.25">
      <c r="A25" s="146"/>
      <c r="B25" s="147" t="s">
        <v>193</v>
      </c>
      <c r="C25" s="148">
        <v>1</v>
      </c>
      <c r="D25" s="149">
        <v>80</v>
      </c>
      <c r="E25" s="149"/>
      <c r="F25" s="149"/>
      <c r="G25" s="149">
        <f t="shared" si="1"/>
        <v>2120000</v>
      </c>
      <c r="H25" s="149"/>
      <c r="I25" s="150">
        <f t="shared" ref="I25:I34" si="2">G25+H25</f>
        <v>2120000</v>
      </c>
      <c r="J25" s="139" t="s">
        <v>191</v>
      </c>
      <c r="K25" s="276"/>
      <c r="L25" s="277"/>
      <c r="N25"/>
    </row>
    <row r="26" spans="1:14" ht="36" x14ac:dyDescent="0.25">
      <c r="A26" s="146"/>
      <c r="B26" s="147" t="s">
        <v>194</v>
      </c>
      <c r="C26" s="148">
        <f t="shared" ref="C26:C28" si="3">$B$17</f>
        <v>1</v>
      </c>
      <c r="D26" s="149">
        <v>12</v>
      </c>
      <c r="E26" s="149"/>
      <c r="F26" s="149"/>
      <c r="G26" s="149">
        <f t="shared" si="1"/>
        <v>318000</v>
      </c>
      <c r="H26" s="149"/>
      <c r="I26" s="150">
        <f t="shared" si="2"/>
        <v>318000</v>
      </c>
      <c r="J26" s="139" t="s">
        <v>191</v>
      </c>
      <c r="K26" s="276"/>
      <c r="L26" s="277"/>
      <c r="N26"/>
    </row>
    <row r="27" spans="1:14" ht="36" x14ac:dyDescent="0.25">
      <c r="A27" s="146"/>
      <c r="B27" s="147" t="s">
        <v>195</v>
      </c>
      <c r="C27" s="148">
        <v>1</v>
      </c>
      <c r="D27" s="149">
        <v>100</v>
      </c>
      <c r="E27" s="149"/>
      <c r="F27" s="149"/>
      <c r="G27" s="149">
        <f t="shared" si="1"/>
        <v>2650000</v>
      </c>
      <c r="H27" s="149"/>
      <c r="I27" s="150">
        <f t="shared" si="2"/>
        <v>2650000</v>
      </c>
      <c r="J27" s="139" t="s">
        <v>191</v>
      </c>
      <c r="K27" s="276"/>
      <c r="L27" s="277"/>
      <c r="N27"/>
    </row>
    <row r="28" spans="1:14" ht="36" x14ac:dyDescent="0.25">
      <c r="A28" s="146"/>
      <c r="B28" s="147" t="s">
        <v>196</v>
      </c>
      <c r="C28" s="148">
        <f t="shared" si="3"/>
        <v>1</v>
      </c>
      <c r="D28" s="149">
        <v>10</v>
      </c>
      <c r="E28" s="149"/>
      <c r="F28" s="149"/>
      <c r="G28" s="149">
        <f t="shared" si="1"/>
        <v>265000</v>
      </c>
      <c r="H28" s="149"/>
      <c r="I28" s="150">
        <f t="shared" si="2"/>
        <v>265000</v>
      </c>
      <c r="J28" s="139" t="s">
        <v>191</v>
      </c>
      <c r="K28" s="276"/>
      <c r="L28" s="277"/>
      <c r="N28"/>
    </row>
    <row r="29" spans="1:14" s="157" customFormat="1" ht="36" x14ac:dyDescent="0.25">
      <c r="A29" s="151"/>
      <c r="B29" s="152" t="s">
        <v>197</v>
      </c>
      <c r="C29" s="153">
        <v>1</v>
      </c>
      <c r="D29" s="154">
        <v>60</v>
      </c>
      <c r="E29" s="154"/>
      <c r="F29" s="154"/>
      <c r="G29" s="155">
        <f t="shared" si="1"/>
        <v>1590000</v>
      </c>
      <c r="H29" s="154"/>
      <c r="I29" s="154">
        <f t="shared" si="2"/>
        <v>1590000</v>
      </c>
      <c r="J29" s="156" t="s">
        <v>191</v>
      </c>
      <c r="K29" s="276"/>
      <c r="L29" s="277"/>
    </row>
    <row r="30" spans="1:14" ht="24" x14ac:dyDescent="0.25">
      <c r="A30" s="158"/>
      <c r="B30" s="159" t="s">
        <v>198</v>
      </c>
      <c r="C30" s="160">
        <v>1</v>
      </c>
      <c r="D30" s="161" t="s">
        <v>199</v>
      </c>
      <c r="E30" s="162"/>
      <c r="F30" s="162"/>
      <c r="G30" s="149">
        <f>IFERROR(C30*(D30*$I$12+E30*$I$13+F30),0)</f>
        <v>0</v>
      </c>
      <c r="H30" s="162"/>
      <c r="I30" s="162">
        <f t="shared" si="2"/>
        <v>0</v>
      </c>
      <c r="J30" s="139" t="s">
        <v>200</v>
      </c>
      <c r="K30" s="276" t="s">
        <v>201</v>
      </c>
      <c r="L30" s="277"/>
      <c r="N30"/>
    </row>
    <row r="31" spans="1:14" ht="24" x14ac:dyDescent="0.25">
      <c r="A31" s="158"/>
      <c r="B31" s="159" t="s">
        <v>202</v>
      </c>
      <c r="C31" s="160">
        <v>1</v>
      </c>
      <c r="D31" s="162"/>
      <c r="E31" s="162">
        <v>400</v>
      </c>
      <c r="F31" s="162"/>
      <c r="G31" s="149">
        <f t="shared" si="1"/>
        <v>1588000</v>
      </c>
      <c r="H31" s="162"/>
      <c r="I31" s="162">
        <f t="shared" si="2"/>
        <v>1588000</v>
      </c>
      <c r="J31" s="139" t="s">
        <v>200</v>
      </c>
      <c r="K31" s="276"/>
      <c r="L31" s="277"/>
      <c r="N31"/>
    </row>
    <row r="32" spans="1:14" ht="24" x14ac:dyDescent="0.25">
      <c r="A32" s="158"/>
      <c r="B32" s="159" t="s">
        <v>203</v>
      </c>
      <c r="C32" s="160">
        <v>1</v>
      </c>
      <c r="D32" s="162"/>
      <c r="E32" s="162">
        <v>314</v>
      </c>
      <c r="F32" s="162"/>
      <c r="G32" s="149">
        <f t="shared" si="1"/>
        <v>1246580</v>
      </c>
      <c r="H32" s="162"/>
      <c r="I32" s="162">
        <f t="shared" si="2"/>
        <v>1246580</v>
      </c>
      <c r="J32" s="139" t="s">
        <v>200</v>
      </c>
      <c r="K32" s="276"/>
      <c r="L32" s="277"/>
      <c r="N32"/>
    </row>
    <row r="33" spans="1:14" x14ac:dyDescent="0.25">
      <c r="A33" s="151"/>
      <c r="B33" s="152" t="s">
        <v>204</v>
      </c>
      <c r="C33" s="153">
        <v>1</v>
      </c>
      <c r="D33" s="154">
        <v>80</v>
      </c>
      <c r="E33" s="154"/>
      <c r="F33" s="154"/>
      <c r="G33" s="155">
        <f t="shared" si="1"/>
        <v>2120000</v>
      </c>
      <c r="H33" s="154"/>
      <c r="I33" s="154">
        <f t="shared" si="2"/>
        <v>2120000</v>
      </c>
      <c r="J33" s="139"/>
      <c r="K33" s="276"/>
      <c r="L33" s="277"/>
      <c r="N33"/>
    </row>
    <row r="34" spans="1:14" x14ac:dyDescent="0.25">
      <c r="A34" s="146"/>
      <c r="B34" s="147" t="s">
        <v>205</v>
      </c>
      <c r="C34" s="148">
        <f>$B$17</f>
        <v>1</v>
      </c>
      <c r="D34" s="154">
        <v>560</v>
      </c>
      <c r="E34" s="149"/>
      <c r="F34" s="149"/>
      <c r="G34" s="149">
        <f t="shared" si="1"/>
        <v>14840000</v>
      </c>
      <c r="H34" s="149"/>
      <c r="I34" s="150">
        <f t="shared" si="2"/>
        <v>14840000</v>
      </c>
      <c r="J34" s="139" t="s">
        <v>206</v>
      </c>
      <c r="N34"/>
    </row>
    <row r="35" spans="1:14" s="145" customFormat="1" x14ac:dyDescent="0.25">
      <c r="A35" s="140">
        <v>2</v>
      </c>
      <c r="B35" s="141" t="s">
        <v>207</v>
      </c>
      <c r="C35" s="142"/>
      <c r="D35" s="143"/>
      <c r="E35" s="143"/>
      <c r="F35" s="143"/>
      <c r="G35" s="143">
        <f>G36</f>
        <v>17225000</v>
      </c>
      <c r="H35" s="143">
        <f>H36</f>
        <v>0</v>
      </c>
      <c r="I35" s="143">
        <f>I36</f>
        <v>17225000</v>
      </c>
      <c r="J35" s="144"/>
      <c r="K35" s="168"/>
    </row>
    <row r="36" spans="1:14" ht="15" customHeight="1" x14ac:dyDescent="0.25">
      <c r="A36" s="146"/>
      <c r="B36" s="147" t="s">
        <v>208</v>
      </c>
      <c r="C36" s="148">
        <f>$B$17</f>
        <v>1</v>
      </c>
      <c r="D36" s="154">
        <v>650</v>
      </c>
      <c r="E36" s="149"/>
      <c r="F36" s="149"/>
      <c r="G36" s="149">
        <f>C36*(D36*$I$12+E36*$I$13+F36)</f>
        <v>17225000</v>
      </c>
      <c r="H36" s="149"/>
      <c r="I36" s="150">
        <f>G36+H36</f>
        <v>17225000</v>
      </c>
      <c r="J36" s="139" t="s">
        <v>206</v>
      </c>
      <c r="N36"/>
    </row>
    <row r="37" spans="1:14" s="145" customFormat="1" x14ac:dyDescent="0.25">
      <c r="A37" s="140">
        <v>3</v>
      </c>
      <c r="B37" s="141" t="s">
        <v>209</v>
      </c>
      <c r="C37" s="142"/>
      <c r="D37" s="143"/>
      <c r="E37" s="143"/>
      <c r="F37" s="143"/>
      <c r="G37" s="143">
        <f>G38</f>
        <v>1000000</v>
      </c>
      <c r="H37" s="143">
        <f>H38</f>
        <v>80000</v>
      </c>
      <c r="I37" s="143">
        <f>I38</f>
        <v>1080000</v>
      </c>
      <c r="J37" s="144"/>
      <c r="K37" s="168"/>
    </row>
    <row r="38" spans="1:14" ht="60" x14ac:dyDescent="0.25">
      <c r="A38" s="146"/>
      <c r="B38" s="147" t="s">
        <v>210</v>
      </c>
      <c r="C38" s="148">
        <f>$B$17</f>
        <v>1</v>
      </c>
      <c r="D38" s="149"/>
      <c r="E38" s="149"/>
      <c r="F38" s="149">
        <v>1000000</v>
      </c>
      <c r="G38" s="149">
        <f>C38*(D38*$I$5+E38*$I$6+F38)</f>
        <v>1000000</v>
      </c>
      <c r="H38" s="149">
        <f>G38*0.08</f>
        <v>80000</v>
      </c>
      <c r="I38" s="150">
        <f>G38+H38</f>
        <v>1080000</v>
      </c>
      <c r="J38" s="139" t="s">
        <v>211</v>
      </c>
      <c r="N38"/>
    </row>
    <row r="39" spans="1:14" s="145" customFormat="1" x14ac:dyDescent="0.25">
      <c r="A39" s="140">
        <v>4</v>
      </c>
      <c r="B39" s="141" t="s">
        <v>212</v>
      </c>
      <c r="C39" s="142"/>
      <c r="D39" s="143"/>
      <c r="E39" s="143"/>
      <c r="F39" s="143"/>
      <c r="G39" s="143">
        <f>SUM(G40:G45)</f>
        <v>8285000</v>
      </c>
      <c r="H39" s="143">
        <f>SUM(H40:H45)</f>
        <v>662800</v>
      </c>
      <c r="I39" s="143">
        <f>SUM(I40:I45)</f>
        <v>8947800</v>
      </c>
      <c r="J39" s="144"/>
      <c r="K39" s="168"/>
    </row>
    <row r="40" spans="1:14" x14ac:dyDescent="0.25">
      <c r="A40" s="146"/>
      <c r="B40" s="147" t="s">
        <v>213</v>
      </c>
      <c r="C40" s="148">
        <v>1</v>
      </c>
      <c r="D40" s="149"/>
      <c r="E40" s="149"/>
      <c r="F40" s="149">
        <v>600000</v>
      </c>
      <c r="G40" s="149">
        <f>C40*(D40*$I$12+E40*$I$13+F40)</f>
        <v>600000</v>
      </c>
      <c r="H40" s="149">
        <f>G40*0.08</f>
        <v>48000</v>
      </c>
      <c r="I40" s="150">
        <f t="shared" ref="I40:I45" si="4">G40+H40</f>
        <v>648000</v>
      </c>
      <c r="J40" s="139" t="s">
        <v>214</v>
      </c>
      <c r="N40"/>
    </row>
    <row r="41" spans="1:14" x14ac:dyDescent="0.25">
      <c r="A41" s="146"/>
      <c r="B41" s="147" t="s">
        <v>215</v>
      </c>
      <c r="C41" s="148">
        <f>$B$17</f>
        <v>1</v>
      </c>
      <c r="D41" s="149">
        <v>120</v>
      </c>
      <c r="E41" s="149"/>
      <c r="F41" s="149"/>
      <c r="G41" s="149">
        <f>C41*(D41*$I$12+E41*$I$13+F41)</f>
        <v>3180000</v>
      </c>
      <c r="H41" s="149">
        <f t="shared" ref="H41:H45" si="5">G41*0.08</f>
        <v>254400</v>
      </c>
      <c r="I41" s="150">
        <f t="shared" si="4"/>
        <v>3434400</v>
      </c>
      <c r="J41" s="139" t="s">
        <v>216</v>
      </c>
      <c r="N41"/>
    </row>
    <row r="42" spans="1:14" x14ac:dyDescent="0.25">
      <c r="A42" s="146"/>
      <c r="B42" s="147" t="s">
        <v>217</v>
      </c>
      <c r="C42" s="148">
        <v>1</v>
      </c>
      <c r="D42" s="149">
        <v>35</v>
      </c>
      <c r="E42" s="149"/>
      <c r="F42" s="149"/>
      <c r="G42" s="149">
        <f>C42*(D42*$I$12+E42*$I$13+F42)</f>
        <v>927500</v>
      </c>
      <c r="H42" s="149">
        <f t="shared" si="5"/>
        <v>74200</v>
      </c>
      <c r="I42" s="150">
        <f t="shared" si="4"/>
        <v>1001700</v>
      </c>
      <c r="J42" s="139" t="s">
        <v>216</v>
      </c>
      <c r="N42"/>
    </row>
    <row r="43" spans="1:14" ht="24" x14ac:dyDescent="0.25">
      <c r="A43" s="146"/>
      <c r="B43" s="147" t="s">
        <v>218</v>
      </c>
      <c r="C43" s="148">
        <f t="shared" ref="C43:C45" si="6">$B$17</f>
        <v>1</v>
      </c>
      <c r="D43" s="149">
        <v>120</v>
      </c>
      <c r="E43" s="149"/>
      <c r="F43" s="149"/>
      <c r="G43" s="149">
        <f>C43*(D43*$I$12+E43*$I$13+F43)</f>
        <v>3180000</v>
      </c>
      <c r="H43" s="149">
        <f t="shared" si="5"/>
        <v>254400</v>
      </c>
      <c r="I43" s="150">
        <f t="shared" si="4"/>
        <v>3434400</v>
      </c>
      <c r="J43" s="139" t="s">
        <v>216</v>
      </c>
      <c r="N43"/>
    </row>
    <row r="44" spans="1:14" x14ac:dyDescent="0.25">
      <c r="A44" s="146"/>
      <c r="B44" s="147" t="s">
        <v>219</v>
      </c>
      <c r="C44" s="148">
        <f t="shared" si="6"/>
        <v>1</v>
      </c>
      <c r="D44" s="149">
        <v>15</v>
      </c>
      <c r="E44" s="149"/>
      <c r="F44" s="149"/>
      <c r="G44" s="149">
        <f>C44*(D44*$I$12+E44*$I$13+F44)</f>
        <v>397500</v>
      </c>
      <c r="H44" s="149">
        <f t="shared" si="5"/>
        <v>31800</v>
      </c>
      <c r="I44" s="150">
        <f t="shared" si="4"/>
        <v>429300</v>
      </c>
      <c r="J44" s="139" t="s">
        <v>216</v>
      </c>
      <c r="N44"/>
    </row>
    <row r="45" spans="1:14" x14ac:dyDescent="0.25">
      <c r="A45" s="146"/>
      <c r="B45" s="147" t="s">
        <v>220</v>
      </c>
      <c r="C45" s="148">
        <f t="shared" si="6"/>
        <v>1</v>
      </c>
      <c r="D45" s="149"/>
      <c r="E45" s="149"/>
      <c r="F45" s="161" t="s">
        <v>221</v>
      </c>
      <c r="G45" s="149">
        <f>IFERROR(C45*(D45*$I$12+E45*$I$13+F45),0)</f>
        <v>0</v>
      </c>
      <c r="H45" s="149">
        <f t="shared" si="5"/>
        <v>0</v>
      </c>
      <c r="I45" s="150">
        <f t="shared" si="4"/>
        <v>0</v>
      </c>
      <c r="J45" s="139" t="s">
        <v>206</v>
      </c>
      <c r="N45"/>
    </row>
    <row r="46" spans="1:14" s="145" customFormat="1" x14ac:dyDescent="0.25">
      <c r="A46" s="140">
        <v>5</v>
      </c>
      <c r="B46" s="163" t="s">
        <v>222</v>
      </c>
      <c r="C46" s="142"/>
      <c r="D46" s="143"/>
      <c r="E46" s="143"/>
      <c r="F46" s="143"/>
      <c r="G46" s="143">
        <f>SUM(G47:G53)</f>
        <v>13000000</v>
      </c>
      <c r="H46" s="143">
        <f>SUM(H47:H53)</f>
        <v>420000</v>
      </c>
      <c r="I46" s="143">
        <f>SUM(I47:I53)</f>
        <v>13300000</v>
      </c>
      <c r="J46" s="144"/>
      <c r="K46" s="168"/>
    </row>
    <row r="47" spans="1:14" ht="36" x14ac:dyDescent="0.25">
      <c r="A47" s="146"/>
      <c r="B47" s="147" t="s">
        <v>223</v>
      </c>
      <c r="C47" s="148">
        <f t="shared" ref="C47:C50" si="7">$B$17</f>
        <v>1</v>
      </c>
      <c r="D47" s="149"/>
      <c r="E47" s="149"/>
      <c r="F47" s="149">
        <v>1000000</v>
      </c>
      <c r="G47" s="149">
        <f t="shared" ref="G47:G52" si="8">C47*(D47*$I$12+E47*$I$13+F47)</f>
        <v>1000000</v>
      </c>
      <c r="H47" s="149">
        <f t="shared" ref="H47:H51" si="9">G47*0.08</f>
        <v>80000</v>
      </c>
      <c r="I47" s="150">
        <f t="shared" ref="I47:I50" si="10">G47+H47</f>
        <v>1080000</v>
      </c>
      <c r="J47" s="139" t="s">
        <v>224</v>
      </c>
      <c r="N47"/>
    </row>
    <row r="48" spans="1:14" x14ac:dyDescent="0.25">
      <c r="A48" s="146"/>
      <c r="B48" s="147" t="s">
        <v>225</v>
      </c>
      <c r="C48" s="148">
        <f t="shared" si="7"/>
        <v>1</v>
      </c>
      <c r="D48" s="149"/>
      <c r="E48" s="149"/>
      <c r="F48" s="149">
        <v>1150000</v>
      </c>
      <c r="G48" s="149">
        <f t="shared" si="8"/>
        <v>1150000</v>
      </c>
      <c r="H48" s="149">
        <f t="shared" si="9"/>
        <v>92000</v>
      </c>
      <c r="I48" s="150">
        <f t="shared" si="10"/>
        <v>1242000</v>
      </c>
      <c r="J48" s="139" t="s">
        <v>226</v>
      </c>
      <c r="N48"/>
    </row>
    <row r="49" spans="1:20" x14ac:dyDescent="0.25">
      <c r="A49" s="146"/>
      <c r="B49" s="147" t="s">
        <v>227</v>
      </c>
      <c r="C49" s="148">
        <f t="shared" si="7"/>
        <v>1</v>
      </c>
      <c r="D49" s="149"/>
      <c r="E49" s="149"/>
      <c r="F49" s="149">
        <v>1600000</v>
      </c>
      <c r="G49" s="149">
        <f t="shared" si="8"/>
        <v>1600000</v>
      </c>
      <c r="H49" s="149">
        <f t="shared" si="9"/>
        <v>128000</v>
      </c>
      <c r="I49" s="150">
        <f t="shared" si="10"/>
        <v>1728000</v>
      </c>
      <c r="J49" s="139" t="s">
        <v>228</v>
      </c>
      <c r="N49"/>
    </row>
    <row r="50" spans="1:20" x14ac:dyDescent="0.25">
      <c r="A50" s="146"/>
      <c r="B50" s="164" t="s">
        <v>229</v>
      </c>
      <c r="C50" s="165">
        <f t="shared" si="7"/>
        <v>1</v>
      </c>
      <c r="D50" s="155"/>
      <c r="E50" s="155"/>
      <c r="F50" s="155">
        <v>250000</v>
      </c>
      <c r="G50" s="155">
        <f t="shared" si="8"/>
        <v>250000</v>
      </c>
      <c r="H50" s="155"/>
      <c r="I50" s="150">
        <f t="shared" si="10"/>
        <v>250000</v>
      </c>
      <c r="J50" s="139" t="s">
        <v>228</v>
      </c>
      <c r="N50"/>
    </row>
    <row r="51" spans="1:20" x14ac:dyDescent="0.25">
      <c r="A51" s="146"/>
      <c r="B51" s="152" t="s">
        <v>230</v>
      </c>
      <c r="C51" s="153">
        <f>B17</f>
        <v>1</v>
      </c>
      <c r="D51" s="154"/>
      <c r="E51" s="154"/>
      <c r="F51" s="154">
        <v>1500000</v>
      </c>
      <c r="G51" s="155">
        <f t="shared" si="8"/>
        <v>1500000</v>
      </c>
      <c r="H51" s="155">
        <f t="shared" si="9"/>
        <v>120000</v>
      </c>
      <c r="I51" s="154">
        <f>F51</f>
        <v>1500000</v>
      </c>
      <c r="J51" s="139" t="s">
        <v>231</v>
      </c>
      <c r="N51"/>
    </row>
    <row r="52" spans="1:20" ht="24" x14ac:dyDescent="0.25">
      <c r="A52" s="146"/>
      <c r="B52" s="152" t="s">
        <v>232</v>
      </c>
      <c r="C52" s="153">
        <v>1</v>
      </c>
      <c r="D52" s="154"/>
      <c r="E52" s="154"/>
      <c r="F52" s="154">
        <v>500000</v>
      </c>
      <c r="G52" s="155">
        <f t="shared" si="8"/>
        <v>500000</v>
      </c>
      <c r="H52" s="154"/>
      <c r="I52" s="154">
        <f>F52</f>
        <v>500000</v>
      </c>
      <c r="J52" s="139"/>
      <c r="N52"/>
    </row>
    <row r="53" spans="1:20" x14ac:dyDescent="0.25">
      <c r="A53" s="146"/>
      <c r="B53" s="147" t="s">
        <v>233</v>
      </c>
      <c r="C53" s="148">
        <v>1</v>
      </c>
      <c r="D53" s="149"/>
      <c r="E53" s="149"/>
      <c r="F53" s="154"/>
      <c r="G53" s="149">
        <v>7000000</v>
      </c>
      <c r="H53" s="149"/>
      <c r="I53" s="150">
        <f>G53+H53</f>
        <v>7000000</v>
      </c>
      <c r="J53" s="139" t="s">
        <v>234</v>
      </c>
      <c r="N53"/>
    </row>
    <row r="54" spans="1:20" ht="30" x14ac:dyDescent="0.25">
      <c r="A54" s="166"/>
      <c r="B54" t="s">
        <v>235</v>
      </c>
      <c r="C54" s="148">
        <v>1</v>
      </c>
      <c r="D54" s="149"/>
      <c r="E54" s="149"/>
      <c r="F54" s="154"/>
      <c r="G54" s="170">
        <v>1200175</v>
      </c>
      <c r="H54" s="149">
        <f>G54*0.1</f>
        <v>120017.5</v>
      </c>
      <c r="I54" s="150">
        <f>G54+H54</f>
        <v>1320192.5</v>
      </c>
      <c r="K54"/>
      <c r="P54" s="70"/>
      <c r="R54" s="115" t="s">
        <v>121</v>
      </c>
      <c r="S54" s="1">
        <v>26368</v>
      </c>
    </row>
    <row r="55" spans="1:20" x14ac:dyDescent="0.25">
      <c r="A55" s="166"/>
      <c r="C55" s="316"/>
      <c r="D55" s="317"/>
      <c r="E55" s="317"/>
      <c r="F55" s="318"/>
      <c r="G55" s="319"/>
      <c r="H55" s="317"/>
      <c r="I55" s="320"/>
      <c r="K55"/>
      <c r="P55" s="70"/>
      <c r="R55" s="115"/>
      <c r="S55" s="1"/>
    </row>
    <row r="56" spans="1:20" x14ac:dyDescent="0.25">
      <c r="A56" s="321" t="s">
        <v>256</v>
      </c>
      <c r="C56" s="316"/>
      <c r="D56" s="317"/>
      <c r="E56" s="317"/>
      <c r="F56" s="318"/>
      <c r="G56" s="319"/>
      <c r="H56" s="317"/>
      <c r="I56" s="320"/>
      <c r="K56"/>
      <c r="P56" s="70"/>
      <c r="R56" s="115"/>
      <c r="S56" s="1"/>
    </row>
    <row r="57" spans="1:20" ht="60" x14ac:dyDescent="0.25">
      <c r="A57" s="102" t="s">
        <v>122</v>
      </c>
      <c r="B57" s="208" t="s">
        <v>120</v>
      </c>
      <c r="C57" s="184" t="s">
        <v>124</v>
      </c>
      <c r="D57" s="175" t="s">
        <v>236</v>
      </c>
      <c r="E57" s="175" t="s">
        <v>237</v>
      </c>
      <c r="F57" s="185" t="s">
        <v>238</v>
      </c>
      <c r="G57" s="178" t="s">
        <v>239</v>
      </c>
      <c r="H57" s="181" t="s">
        <v>240</v>
      </c>
      <c r="I57" s="189" t="s">
        <v>241</v>
      </c>
      <c r="J57" s="189" t="s">
        <v>242</v>
      </c>
      <c r="K57" s="186" t="s">
        <v>243</v>
      </c>
      <c r="L57" s="186" t="s">
        <v>244</v>
      </c>
      <c r="M57" s="188" t="s">
        <v>245</v>
      </c>
      <c r="N57" s="103" t="s">
        <v>246</v>
      </c>
      <c r="O57" s="103" t="s">
        <v>247</v>
      </c>
      <c r="P57" s="169" t="s">
        <v>248</v>
      </c>
      <c r="Q57" s="195" t="s">
        <v>249</v>
      </c>
      <c r="R57" s="115" t="s">
        <v>250</v>
      </c>
      <c r="S57" s="192" t="s">
        <v>251</v>
      </c>
      <c r="T57" s="115" t="s">
        <v>142</v>
      </c>
    </row>
    <row r="58" spans="1:20" x14ac:dyDescent="0.25">
      <c r="A58" s="1" t="s">
        <v>143</v>
      </c>
      <c r="B58" s="1"/>
      <c r="C58" s="172">
        <f>SUM(C59:C1001)</f>
        <v>42301250</v>
      </c>
      <c r="D58" s="176">
        <f>SUM(I30:I32)</f>
        <v>2834580</v>
      </c>
      <c r="E58" s="176">
        <f>G54</f>
        <v>1200175</v>
      </c>
      <c r="F58" s="176">
        <f>G53</f>
        <v>7000000</v>
      </c>
      <c r="G58" s="179">
        <f>SUM(I24:I29,I33:I34,I36)</f>
        <v>44626000</v>
      </c>
      <c r="H58" s="182">
        <f>SUM(G40:G45,G47:G52,G38)</f>
        <v>15285000</v>
      </c>
      <c r="I58" s="190">
        <f>C58+D58+E58+F58</f>
        <v>53336005</v>
      </c>
      <c r="J58" s="190">
        <f>I58+G58</f>
        <v>97962005</v>
      </c>
      <c r="K58" s="145"/>
      <c r="L58" s="145"/>
      <c r="M58" s="187">
        <v>0.08</v>
      </c>
      <c r="N58" s="114">
        <f>J58*K58+(J58+J58*K58)*L58</f>
        <v>0</v>
      </c>
      <c r="O58" s="171">
        <f>(J58+N58)*M58+H58*M58</f>
        <v>9059760.4000000004</v>
      </c>
      <c r="P58" s="114">
        <f>SUM(D58:H58)+N58</f>
        <v>70945755</v>
      </c>
      <c r="Q58" s="196">
        <f>O58/0.08+O58</f>
        <v>122306765.40000001</v>
      </c>
      <c r="R58" s="114">
        <f>Q58-C58</f>
        <v>80005515.400000006</v>
      </c>
      <c r="S58" s="193"/>
    </row>
    <row r="59" spans="1:20" x14ac:dyDescent="0.25">
      <c r="A59" t="s">
        <v>144</v>
      </c>
      <c r="B59">
        <v>5000</v>
      </c>
      <c r="C59" s="173">
        <f>6500*3935</f>
        <v>25577500</v>
      </c>
      <c r="D59" s="177">
        <f>$C59/$C$58*D$58</f>
        <v>1713932.0930232557</v>
      </c>
      <c r="E59" s="177">
        <f>$C59/$C$58*E$58</f>
        <v>725687.2093023255</v>
      </c>
      <c r="F59" s="177">
        <f>$C59/$C$58*F$58</f>
        <v>4232558.1395348832</v>
      </c>
      <c r="G59" s="180">
        <f>$C59/$C$58*G$58</f>
        <v>26983162.790697671</v>
      </c>
      <c r="H59" s="183">
        <f>$C59/$C$58*H$58</f>
        <v>9242093.0232558139</v>
      </c>
      <c r="I59" s="191">
        <f>C59+D59+E59+F59</f>
        <v>32249677.441860463</v>
      </c>
      <c r="J59" s="191">
        <f>I59+G59</f>
        <v>59232840.232558131</v>
      </c>
      <c r="K59" s="187">
        <v>0.1</v>
      </c>
      <c r="L59" s="187">
        <v>0</v>
      </c>
      <c r="M59" s="187">
        <v>0.08</v>
      </c>
      <c r="N59" s="114">
        <f>J59*K59+(J59+J59*K59)*L59</f>
        <v>5923284.0232558139</v>
      </c>
      <c r="O59" s="104">
        <f>(J59+N59)*M59+H59*M59</f>
        <v>5951857.3823255803</v>
      </c>
      <c r="P59" s="104">
        <f>SUM(D59:H59)+N59</f>
        <v>48820717.279069766</v>
      </c>
      <c r="Q59" s="197">
        <f>O59/M59+O59</f>
        <v>80350074.661395326</v>
      </c>
      <c r="R59" s="104">
        <f>Q59-C59</f>
        <v>54772574.661395326</v>
      </c>
      <c r="S59" s="194">
        <f>I59/B59/$S$54</f>
        <v>0.2446122378781892</v>
      </c>
      <c r="T59" s="104">
        <f>Q59/1.08/B59</f>
        <v>14879.643455813948</v>
      </c>
    </row>
    <row r="60" spans="1:20" x14ac:dyDescent="0.25">
      <c r="A60" t="s">
        <v>145</v>
      </c>
      <c r="B60">
        <v>5000</v>
      </c>
      <c r="C60" s="174">
        <f>4250*3935</f>
        <v>16723750</v>
      </c>
      <c r="D60" s="177">
        <f>$C60/$C$58*D$58</f>
        <v>1120647.9069767441</v>
      </c>
      <c r="E60" s="177">
        <f>$C60/$C$58*E$58</f>
        <v>474487.79069767438</v>
      </c>
      <c r="F60" s="177">
        <f>$C60/$C$58*F$58</f>
        <v>2767441.8604651163</v>
      </c>
      <c r="G60" s="180">
        <f>$C60/$C$58*G$58</f>
        <v>17642837.209302325</v>
      </c>
      <c r="H60" s="183">
        <f t="shared" ref="H60" si="11">$C60/$C$58*H$58</f>
        <v>6042906.9767441861</v>
      </c>
      <c r="I60" s="191">
        <f>C60+D60+E60+F60</f>
        <v>21086327.558139537</v>
      </c>
      <c r="J60" s="191">
        <f>I60+G60</f>
        <v>38729164.767441861</v>
      </c>
      <c r="K60" s="187">
        <v>0</v>
      </c>
      <c r="L60" s="187">
        <v>0</v>
      </c>
      <c r="M60" s="187">
        <v>0.08</v>
      </c>
      <c r="N60" s="114">
        <f t="shared" ref="N60" si="12">J60*K60+(J60+J60*K60)*L60</f>
        <v>0</v>
      </c>
      <c r="O60" s="104">
        <f>(J60+N60)*M60+H60*M60</f>
        <v>3581765.7395348838</v>
      </c>
      <c r="P60" s="104">
        <f>SUM(D60:H60)+N60</f>
        <v>28048321.744186047</v>
      </c>
      <c r="Q60" s="197">
        <f>O60/M60+O60</f>
        <v>48353837.483720928</v>
      </c>
      <c r="R60" s="104">
        <f>Q60-C60</f>
        <v>31630087.483720928</v>
      </c>
      <c r="S60" s="194">
        <f>I60/B60/$S$54</f>
        <v>0.15993877092035449</v>
      </c>
      <c r="T60" s="104">
        <f>Q60/1.08/B60</f>
        <v>8954.4143488372083</v>
      </c>
    </row>
  </sheetData>
  <mergeCells count="11">
    <mergeCell ref="K24:L29"/>
    <mergeCell ref="K30:L33"/>
    <mergeCell ref="J18:J19"/>
    <mergeCell ref="A20:F20"/>
    <mergeCell ref="A1:A3"/>
    <mergeCell ref="A11:I11"/>
    <mergeCell ref="A18:A19"/>
    <mergeCell ref="B18:B19"/>
    <mergeCell ref="C18:C19"/>
    <mergeCell ref="G18:G19"/>
    <mergeCell ref="H18:H19"/>
  </mergeCells>
  <pageMargins left="0.25" right="0.25" top="0.75" bottom="0.75" header="0.3" footer="0.3"/>
  <pageSetup paperSize="9" scale="33" orientation="portrait" horizontalDpi="300" verticalDpi="300" r:id="rId1"/>
  <rowBreaks count="3" manualBreakCount="3">
    <brk id="12" max="16383" man="1"/>
    <brk id="13" max="18" man="1"/>
    <brk id="20" max="18" man="1"/>
  </rowBreaks>
  <colBreaks count="2" manualBreakCount="2">
    <brk id="7" max="59" man="1"/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bdcad3f-6e3c-45cb-bf96-8947e550e724" xsi:nil="true"/>
    <lcf76f155ced4ddcb4097134ff3c332f xmlns="fbdcad3f-6e3c-45cb-bf96-8947e550e724">
      <Terms xmlns="http://schemas.microsoft.com/office/infopath/2007/PartnerControls"/>
    </lcf76f155ced4ddcb4097134ff3c332f>
    <TaxCatchAll xmlns="b17da3de-44ce-4978-a9ee-c602b11cddd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4A4845AA8E2D1248A9D86DC19758FBCA" ma:contentTypeVersion="15" ma:contentTypeDescription="Tạo tài liệu mới." ma:contentTypeScope="" ma:versionID="45b9f706f97508dfa8d7eefeb24ffcd3">
  <xsd:schema xmlns:xsd="http://www.w3.org/2001/XMLSchema" xmlns:xs="http://www.w3.org/2001/XMLSchema" xmlns:p="http://schemas.microsoft.com/office/2006/metadata/properties" xmlns:ns2="fbdcad3f-6e3c-45cb-bf96-8947e550e724" xmlns:ns3="b17da3de-44ce-4978-a9ee-c602b11cddd4" targetNamespace="http://schemas.microsoft.com/office/2006/metadata/properties" ma:root="true" ma:fieldsID="dc1a10e09ae9de6c70c1458b9698b4f9" ns2:_="" ns3:_="">
    <xsd:import namespace="fbdcad3f-6e3c-45cb-bf96-8947e550e724"/>
    <xsd:import namespace="b17da3de-44ce-4978-a9ee-c602b11cd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cad3f-6e3c-45cb-bf96-8947e550e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05f03c00-fedf-4139-9167-b2a092cf55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Trạng thái kết luận" ma:internalName="Tr_x1ea1_ng_x0020_th_x00e1_i_x0020_k_x1ebf_t_x0020_lu_x1ead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da3de-44ce-4978-a9ee-c602b11cdd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19e8996-1f76-4852-9bbc-8808c44889ac}" ma:internalName="TaxCatchAll" ma:showField="CatchAllData" ma:web="b17da3de-44ce-4978-a9ee-c602b11cdd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408F8-D0D4-4824-95C4-58FA55EC70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4254DB-5051-42E5-81EA-2D4C4EE1457A}">
  <ds:schemaRefs>
    <ds:schemaRef ds:uri="http://schemas.microsoft.com/office/2006/metadata/properties"/>
    <ds:schemaRef ds:uri="http://schemas.microsoft.com/office/infopath/2007/PartnerControls"/>
    <ds:schemaRef ds:uri="fbdcad3f-6e3c-45cb-bf96-8947e550e724"/>
    <ds:schemaRef ds:uri="b17da3de-44ce-4978-a9ee-c602b11cddd4"/>
  </ds:schemaRefs>
</ds:datastoreItem>
</file>

<file path=customXml/itemProps3.xml><?xml version="1.0" encoding="utf-8"?>
<ds:datastoreItem xmlns:ds="http://schemas.openxmlformats.org/officeDocument/2006/customXml" ds:itemID="{7802B25C-BC07-4DD5-8FB4-ED3372CB43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cad3f-6e3c-45cb-bf96-8947e550e724"/>
    <ds:schemaRef ds:uri="b17da3de-44ce-4978-a9ee-c602b11cdd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Ước tính giá không vận chuyển</vt:lpstr>
      <vt:lpstr>Ước tính giá 8.4. 1 sổ</vt:lpstr>
      <vt:lpstr>Ước tính giá với KH khai giảm</vt:lpstr>
      <vt:lpstr>UT khai giảm + k ghi nhận chií</vt:lpstr>
      <vt:lpstr>1 sổ gom cont</vt:lpstr>
      <vt:lpstr>1 sổ nguyên lô </vt:lpstr>
      <vt:lpstr>'1 sổ nguyên lô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(Ruby) Nguyễn Ngọc Thúy</dc:creator>
  <cp:keywords/>
  <dc:description/>
  <cp:lastModifiedBy>(Ruby) Nguyễn Ngọc Thúy</cp:lastModifiedBy>
  <cp:revision/>
  <dcterms:created xsi:type="dcterms:W3CDTF">2025-05-22T02:21:04Z</dcterms:created>
  <dcterms:modified xsi:type="dcterms:W3CDTF">2026-05-29T09:08:58Z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0x0101004A4845AA8E2D1248A9D86DC19758FBCA</vt:lpwstr>
  </property>
</Properties>
</file>